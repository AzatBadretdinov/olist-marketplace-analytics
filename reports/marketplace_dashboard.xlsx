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850bba9d2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13a97a0019642d0"/>
    <x:sheet xmlns:r="http://schemas.openxmlformats.org/officeDocument/2006/relationships" name="Monthly" sheetId="2" r:id="R80f71f0f0f954632"/>
    <x:sheet xmlns:r="http://schemas.openxmlformats.org/officeDocument/2006/relationships" name="Regions" sheetId="3" r:id="R0c3bc63aa73e4e83"/>
    <x:sheet xmlns:r="http://schemas.openxmlformats.org/officeDocument/2006/relationships" name="Categories" sheetId="4" r:id="Raef5381d77394c12"/>
    <x:sheet xmlns:r="http://schemas.openxmlformats.org/officeDocument/2006/relationships" name="Data" sheetId="5" r:id="R1544cfaae4f9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#,##0"/>
    <x:numFmt numFmtId="202" formatCode="#,##0.00"/>
    <x:numFmt numFmtId="203" formatCode="0.0"/>
    <x:numFmt numFmtId="204" formatCode="0.0%"/>
  </x:numFmts>
  <x:fonts count="7">
    <x:font>
      <x:sz val="11"/>
      <x:name val="Carlito"/>
    </x:font>
    <x:font>
      <x:sz val="10"/>
      <x:color rgb="FF263238"/>
      <x:name val="Arial"/>
    </x:font>
    <x:font>
      <x:b/>
      <x:sz val="16"/>
      <x:color rgb="FF193B55"/>
      <x:name val="Arial"/>
    </x:font>
    <x:font>
      <x:sz val="10"/>
      <x:color rgb="FFB42318"/>
      <x:name val="Arial"/>
    </x:font>
    <x:font>
      <x:b/>
      <x:sz val="10"/>
      <x:color rgb="FFFFFFFF"/>
      <x:name val="Arial"/>
    </x:font>
    <x:font>
      <x:sz val="10"/>
      <x:color rgb="FF596773"/>
      <x:name val="Arial"/>
    </x:font>
    <x:font>
      <x:b/>
      <x:sz val="10"/>
      <x:color rgb="FF193B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245A81"/>
      </x:patternFill>
    </x:fill>
    <x:fill>
      <x:patternFill patternType="solid">
        <x:fgColor rgb="FFEAF1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bf49fed914213" /><Relationship Type="http://schemas.openxmlformats.org/officeDocument/2006/relationships/theme" Target="/xl/theme/theme1.xml" Id="R6321e729d4b844ef" /><Relationship Type="http://schemas.openxmlformats.org/officeDocument/2006/relationships/sharedStrings" Target="/xl/sharedStrings.xml" Id="Rfd97ef0f20eb4dd7" /><Relationship Type="http://schemas.openxmlformats.org/officeDocument/2006/relationships/worksheet" Target="/xl/worksheets/sheet1.xml" Id="Ra13a97a0019642d0" /><Relationship Type="http://schemas.openxmlformats.org/officeDocument/2006/relationships/worksheet" Target="/xl/worksheets/sheet2.xml" Id="R80f71f0f0f954632" /><Relationship Type="http://schemas.openxmlformats.org/officeDocument/2006/relationships/worksheet" Target="/xl/worksheets/sheet3.xml" Id="R0c3bc63aa73e4e83" /><Relationship Type="http://schemas.openxmlformats.org/officeDocument/2006/relationships/worksheet" Target="/xl/worksheets/sheet4.xml" Id="Raef5381d77394c12" /><Relationship Type="http://schemas.openxmlformats.org/officeDocument/2006/relationships/worksheet" Target="/xl/worksheets/sheet5.xml" Id="R1544cfaae4f943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2d2414090249b3" /><Relationship Type="http://schemas.openxmlformats.org/officeDocument/2006/relationships/chart" Target="/xl/drawings/charts/chart2.xml" Id="R69f30043c2e245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9286f45b9d746b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db6f01da2c94e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Стоимость товаров, BRL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GMV BRL</c:v>
          </c:tx>
          <c:spPr>
            <a:solidFill xmlns:a="http://schemas.openxmlformats.org/drawingml/2006/main">
              <a:srgbClr val="245A81"/>
            </a:solidFill>
            <a:ln xmlns:a="http://schemas.openxmlformats.org/drawingml/2006/main" w="19050">
              <a:solidFill>
                <a:srgbClr val="245A81"/>
              </a:solidFill>
              <a:prstDash val="solid"/>
            </a:ln>
          </c:spPr>
          <c:marker>
            <c:symbol val="none"/>
          </c:marker>
          <c:cat>
            <c:strRef>
              <c:f>'Monthly'!$Q$6:$Q$24</c:f>
              <c:strCache>
                <c:ptCount val="0"/>
              </c:strCache>
            </c:strRef>
          </c:cat>
          <c:val>
            <c:numRef>
              <c:f>'Monthly'!$D$6:$D$24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Доля опозданий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Опоздания</c:v>
          </c:tx>
          <c:spPr>
            <a:solidFill xmlns:a="http://schemas.openxmlformats.org/drawingml/2006/main">
              <a:srgbClr val="DB7650"/>
            </a:solidFill>
            <a:ln xmlns:a="http://schemas.openxmlformats.org/drawingml/2006/main" w="19050">
              <a:solidFill>
                <a:srgbClr val="DB7650"/>
              </a:solidFill>
              <a:prstDash val="solid"/>
            </a:ln>
          </c:spPr>
          <c:marker>
            <c:symbol val="none"/>
          </c:marker>
          <c:cat>
            <c:strRef>
              <c:f>'Monthly'!$Q$6:$Q$24</c:f>
              <c:strCache>
                <c:ptCount val="0"/>
              </c:strCache>
            </c:strRef>
          </c:cat>
          <c:val>
            <c:numRef>
              <c:f>'Monthly'!$L$6:$L$24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Опоздания в выбранных штатах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Опоздало</c:v>
          </c:tx>
          <c:spPr>
            <a:solidFill xmlns:a="http://schemas.openxmlformats.org/drawingml/2006/main">
              <a:srgbClr val="245A81"/>
            </a:solidFill>
          </c:spPr>
          <c:invertIfNegative val="0"/>
          <c:cat>
            <c:strRef>
              <c:f>'Regions'!$A$6:$A$15</c:f>
              <c:strCache>
                <c:ptCount val="0"/>
              </c:strCache>
            </c:strRef>
          </c:cat>
          <c:val>
            <c:numRef>
              <c:f>'Regions'!$E$6:$E$15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Крупнейшие категории по GMV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GMV BRL</c:v>
          </c:tx>
          <c:spPr>
            <a:solidFill xmlns:a="http://schemas.openxmlformats.org/drawingml/2006/main">
              <a:srgbClr val="245A81"/>
            </a:solidFill>
          </c:spPr>
          <c:invertIfNegative val="0"/>
          <c:cat>
            <c:strRef>
              <c:f>'Categories'!$A$6:$A$15</c:f>
              <c:strCache>
                <c:ptCount val="0"/>
              </c:strCache>
            </c:strRef>
          </c:cat>
          <c:val>
            <c:numRef>
              <c:f>'Categories'!$D$6:$D$15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 млн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2d2414090249b3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f30043c2e245e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286f45b9d746b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b6f01da2c94e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tateSource" displayName="MonthlyStateSource" ref="A1:K508" headerRowCount="1" totalsRowCount="0" totalsRowShown="0">
  <x:tableColumns count="11">
    <x:tableColumn id="1" name="Месяц"/>
    <x:tableColumn id="2" name="Штат"/>
    <x:tableColumn id="3" name="Все заказы"/>
    <x:tableColumn id="4" name="Доставлено"/>
    <x:tableColumn id="5" name="GMV BRL"/>
    <x:tableColumn id="6" name="Доставка BRL"/>
    <x:tableColumn id="7" name="Пригодно"/>
    <x:tableColumn id="8" name="Опоздало"/>
    <x:tableColumn id="9" name="Сумма дней"/>
    <x:tableColumn id="10" name="С отзывом"/>
    <x:tableColumn id="11" name="Низких оцено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eb6120dc5f45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9f5e1983d0644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f071bc3d56645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b5361b8b98ce465b" /></Relationships>
</file>

<file path=xl/worksheets/sheet1.xml><?xml version="1.0" encoding="utf-8"?>
<x:worksheet xmlns:x="http://schemas.openxmlformats.org/spreadsheetml/2006/main">
  <x:sheetPr>
    <x:tabColor rgb="FF245A81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Olist: продажи и доставка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2" t="str">
        <x:v>Когорты покупок. Суммы товаров в BRL, только delivered.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 t="str">
        <x:v>Штат</x:v>
      </x:c>
      <x:c r="B5" s="5" t="str">
        <x:v>ALL</x:v>
      </x:c>
      <x:c r="C5" s="2"/>
      <x:c r="D5" s="2" t="str">
        <x:v>С месяца</x:v>
      </x:c>
      <x:c r="E5" s="6" t="d">
        <x:v>2017-01-01T00:00:00.000Z</x:v>
      </x:c>
      <x:c r="F5" s="2"/>
      <x:c r="G5" s="2" t="str">
        <x:v>По месяц</x:v>
      </x:c>
      <x:c r="H5" s="6" t="d">
        <x:v>2018-07-01T00:00:00.000Z</x:v>
      </x:c>
      <x:c r="I5" s="2"/>
      <x:c r="J5" s="2"/>
      <x:c r="K5" s="2"/>
      <x:c r="L5" s="2"/>
    </x:row>
    <x:row r="6" ht="22" customHeight="1">
      <x:c r="A6" s="7" t="str">
        <x:f>IF(E5&gt;H5,"Проверьте: начало позже конца","")</x:f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0" customHeight="1">
      <x:c r="A8" s="13" t="str">
        <x:v>Показатель</x:v>
      </x:c>
      <x:c r="B8" s="13" t="str">
        <x:v>Значение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2" customHeight="1">
      <x:c r="A9" s="2" t="str">
        <x:v>Все заказы</x:v>
      </x:c>
      <x:c r="B9" s="8" t="n">
        <x:f>IF($E$5&gt;$H$5,"n.a.",SUM(Monthly!B6:B24))</x:f>
        <x:v>92580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 t="str">
        <x:v>Доставленные заказы</x:v>
      </x:c>
      <x:c r="B10" s="8" t="n">
        <x:f>IF($E$5&gt;$H$5,"n.a.",SUM(Monthly!C6:C24))</x:f>
        <x:v>89860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 t="str">
        <x:v>Стоимость товаров, BRL</x:v>
      </x:c>
      <x:c r="B11" s="8" t="n">
        <x:f>IF($E$5&gt;$H$5,"n.a.",SUM(Monthly!D6:D24))</x:f>
        <x:v>12342450.489999998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2" customHeight="1">
      <x:c r="A12" s="2" t="str">
        <x:v>Средний чек товаров, BRL</x:v>
      </x:c>
      <x:c r="B12" s="9" t="n">
        <x:f>IF(OR(B10="n.a.",B10=0),"n.a.",B11/B10)</x:f>
        <x:v>137.35199744046292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2" customHeight="1">
      <x:c r="A13" s="2" t="str">
        <x:v>Пригодные доставки</x:v>
      </x:c>
      <x:c r="B13" s="8" t="n">
        <x:f>IF($E$5&gt;$H$5,"n.a.",SUM(Monthly!F6:F24))</x:f>
        <x:v>89852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 t="str">
        <x:v>Опоздавшие заказы</x:v>
      </x:c>
      <x:c r="B14" s="8" t="n">
        <x:f>IF($E$5&gt;$H$5,"n.a.",SUM(Monthly!G6:G24))</x:f>
        <x:v>6138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17" t="str">
        <x:v>Доля опозданий</x:v>
      </x:c>
      <x:c r="B15" s="18" t="n">
        <x:f>IF(OR(B13="n.a.",B13=0),"n.a.",B14/B13)</x:f>
        <x:v>0.06831233584116102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 t="str">
        <x:v>Средний срок, дней</x:v>
      </x:c>
      <x:c r="B16" s="15" t="n">
        <x:f>IF(OR(B13="n.a.",B13=0),"n.a.",SUM(Monthly!H6:H24)/B13)</x:f>
        <x:v>12.878140332440704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 t="str">
        <x:v>Покрытие отзывами</x:v>
      </x:c>
      <x:c r="B17" s="16" t="n">
        <x:f>IF(OR(B10="n.a.",B10=0),"n.a.",SUM(Monthly!I6:I24)/B10)</x:f>
        <x:v>0.9930781215223681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 t="str">
        <x:v>Низкие оценки</x:v>
      </x:c>
      <x:c r="B18" s="16" t="n">
        <x:f>IF(OR($E$5&gt;$H$5,SUM(Monthly!I6:I24)=0),"n.a.",SUM(Monthly!J6:J24)/SUM(Monthly!I6:I24))</x:f>
        <x:v>0.13026961608283466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Фильтры: жёлтые ячейки.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19" t="str">
        <x:v>Как читать</x:v>
      </x:c>
      <x:c r="B24" s="19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2" customHeight="1">
      <x:c r="A25" s="14" t="str">
        <x:v>Опоздание: позже обещанного дня.</x:v>
      </x:c>
      <x:c r="B25" s="14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2" customHeight="1">
      <x:c r="A26" s="14" t="str">
        <x:v>Доля: опоздало / пригодно.</x:v>
      </x:c>
      <x:c r="B26" s="14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2" customHeight="1">
      <x:c r="A27" s="14" t="str">
        <x:v>Неизвестная дата не равна сроку.</x:v>
      </x:c>
      <x:c r="B27" s="14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2" customHeight="1">
      <x:c r="A28" s="14" t="str">
        <x:v>GMV не равно прибыли платформы.</x:v>
      </x:c>
      <x:c r="B28" s="14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2" customHeight="1">
      <x:c r="A29" s="14" t="str">
        <x:v>Отзывы 1–2 считаются низкими.</x:v>
      </x:c>
      <x:c r="B29" s="14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14" t="str">
        <x:v>Отзывы выбраны по последнему ответу.</x:v>
      </x:c>
      <x:c r="B30" s="14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14" t="str">
        <x:v>Регионы: сравнение всех штатов.</x:v>
      </x:c>
      <x:c r="B31" s="14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14" t="str">
        <x:v>Категории: весь базовый период.</x:v>
      </x:c>
      <x:c r="B32" s="14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14" t="str">
        <x:v>Связь оценок с задержками —</x:v>
      </x:c>
      <x:c r="B33" s="14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14" t="str">
        <x:v>наблюдение, не причинный эффект.</x:v>
      </x:c>
      <x:c r="B34" s="14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</x:sheetData>
  <x:dataValidations count="3">
    <x:dataValidation type="list" sqref="B5">
      <x:formula1>INDIRECT("Data!$M$2:$M$29")</x:formula1>
    </x:dataValidation>
    <x:dataValidation type="list" sqref="E5">
      <x:formula1>INDIRECT("Data!$N$2:$N$20")</x:formula1>
    </x:dataValidation>
    <x:dataValidation type="list" sqref="H5">
      <x:formula1>INDIRECT("Data!$N$2:$N$20")</x:formula1>
    </x:dataValidation>
  </x:dataValidations>
  <x:pageMargins left="0.7" right="0.7" top="0.75" bottom="0.75" header="0.3" footer="0.3"/>
  <x:drawing xmlns:r="http://schemas.openxmlformats.org/officeDocument/2006/relationships" r:id="R9feb6120dc5f452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3" t="str">
        <x:v>Помесячные показатели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</x:row>
    <x:row r="3" ht="22" customHeight="1">
      <x:c r="A3" s="2" t="str">
        <x:v>Штат и границы периода задаются на Dashboard. Пустые месяцы вне выбора не равны нулю.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0" customHeight="1">
      <x:c r="A5" s="13" t="str">
        <x:v>Месяц</x:v>
      </x:c>
      <x:c r="B5" s="13" t="str">
        <x:v>Все заказы</x:v>
      </x:c>
      <x:c r="C5" s="13" t="str">
        <x:v>Доставлено</x:v>
      </x:c>
      <x:c r="D5" s="13" t="str">
        <x:v>GMV BRL</x:v>
      </x:c>
      <x:c r="E5" s="13" t="str">
        <x:v>Доставка BRL</x:v>
      </x:c>
      <x:c r="F5" s="13" t="str">
        <x:v>Пригодно</x:v>
      </x:c>
      <x:c r="G5" s="13" t="str">
        <x:v>Опоздало</x:v>
      </x:c>
      <x:c r="H5" s="13" t="str">
        <x:v>Сумма дней</x:v>
      </x:c>
      <x:c r="I5" s="13" t="str">
        <x:v>С отзывом</x:v>
      </x:c>
      <x:c r="J5" s="13" t="str">
        <x:v>Низких оценок</x:v>
      </x:c>
      <x:c r="K5" s="13" t="str">
        <x:v>Чек BRL</x:v>
      </x:c>
      <x:c r="L5" s="13" t="str">
        <x:v>Опоздания</x:v>
      </x:c>
      <x:c r="M5" s="13" t="str">
        <x:v>Средний срок</x:v>
      </x:c>
      <x:c r="N5" s="13" t="str">
        <x:v>Низкие оценки</x:v>
      </x:c>
      <x:c r="O5" s="13" t="str">
        <x:v>Покрытие отзывами</x:v>
      </x:c>
      <x:c r="P5" s="13" t="str">
        <x:v>GMV MoM</x:v>
      </x:c>
      <x:c r="Q5" s="2" t="str">
        <x:v>Подпись месяца</x:v>
      </x:c>
    </x:row>
    <x:row r="6" ht="22" customHeight="1">
      <x:c r="A6" s="4" t="d">
        <x:v>2017-01-01T00:00:00.000Z</x:v>
      </x:c>
      <x:c r="B6" s="8" t="n">
        <x:f>IF(AND($A6&gt;=Dashboard!$E$5,$A6&lt;=Dashboard!$H$5,Dashboard!$E$5&lt;=Dashboard!$H$5),IF(Dashboard!$B$5="ALL",SUMIFS(Data!$C$2:$C$508,Data!$A$2:$A$508,$A6),SUMIFS(Data!$C$2:$C$508,Data!$A$2:$A$508,$A6,Data!$B$2:$B$508,Dashboard!$B$5)),"")</x:f>
        <x:v>800</x:v>
      </x:c>
      <x:c r="C6" s="8" t="n">
        <x:f>IF(AND($A6&gt;=Dashboard!$E$5,$A6&lt;=Dashboard!$H$5,Dashboard!$E$5&lt;=Dashboard!$H$5),IF(Dashboard!$B$5="ALL",SUMIFS(Data!$D$2:$D$508,Data!$A$2:$A$508,$A6),SUMIFS(Data!$D$2:$D$508,Data!$A$2:$A$508,$A6,Data!$B$2:$B$508,Dashboard!$B$5)),"")</x:f>
        <x:v>750</x:v>
      </x:c>
      <x:c r="D6" s="9" t="n">
        <x:f>IF(AND($A6&gt;=Dashboard!$E$5,$A6&lt;=Dashboard!$H$5,Dashboard!$E$5&lt;=Dashboard!$H$5),IF(Dashboard!$B$5="ALL",SUMIFS(Data!$E$2:$E$508,Data!$A$2:$A$508,$A6),SUMIFS(Data!$E$2:$E$508,Data!$A$2:$A$508,$A6,Data!$B$2:$B$508,Dashboard!$B$5)),"")</x:f>
        <x:v>111798.36</x:v>
      </x:c>
      <x:c r="E6" s="9" t="n">
        <x:f>IF(AND($A6&gt;=Dashboard!$E$5,$A6&lt;=Dashboard!$H$5,Dashboard!$E$5&lt;=Dashboard!$H$5),IF(Dashboard!$B$5="ALL",SUMIFS(Data!$F$2:$F$508,Data!$A$2:$A$508,$A6),SUMIFS(Data!$F$2:$F$508,Data!$A$2:$A$508,$A6,Data!$B$2:$B$508,Dashboard!$B$5)),"")</x:f>
        <x:v>15684.01</x:v>
      </x:c>
      <x:c r="F6" s="8" t="n">
        <x:f>IF(AND($A6&gt;=Dashboard!$E$5,$A6&lt;=Dashboard!$H$5,Dashboard!$E$5&lt;=Dashboard!$H$5),IF(Dashboard!$B$5="ALL",SUMIFS(Data!$G$2:$G$508,Data!$A$2:$A$508,$A6),SUMIFS(Data!$G$2:$G$508,Data!$A$2:$A$508,$A6,Data!$B$2:$B$508,Dashboard!$B$5)),"")</x:f>
        <x:v>750</x:v>
      </x:c>
      <x:c r="G6" s="8" t="n">
        <x:f>IF(AND($A6&gt;=Dashboard!$E$5,$A6&lt;=Dashboard!$H$5,Dashboard!$E$5&lt;=Dashboard!$H$5),IF(Dashboard!$B$5="ALL",SUMIFS(Data!$H$2:$H$508,Data!$A$2:$A$508,$A6),SUMIFS(Data!$H$2:$H$508,Data!$A$2:$A$508,$A6,Data!$B$2:$B$508,Dashboard!$B$5)),"")</x:f>
        <x:v>22</x:v>
      </x:c>
      <x:c r="H6" s="8" t="n">
        <x:f>IF(AND($A6&gt;=Dashboard!$E$5,$A6&lt;=Dashboard!$H$5,Dashboard!$E$5&lt;=Dashboard!$H$5),IF(Dashboard!$B$5="ALL",SUMIFS(Data!$I$2:$I$508,Data!$A$2:$A$508,$A6),SUMIFS(Data!$I$2:$I$508,Data!$A$2:$A$508,$A6,Data!$B$2:$B$508,Dashboard!$B$5)),"")</x:f>
        <x:v>9485.2826388889</x:v>
      </x:c>
      <x:c r="I6" s="8" t="n">
        <x:f>IF(AND($A6&gt;=Dashboard!$E$5,$A6&lt;=Dashboard!$H$5,Dashboard!$E$5&lt;=Dashboard!$H$5),IF(Dashboard!$B$5="ALL",SUMIFS(Data!$J$2:$J$508,Data!$A$2:$A$508,$A6),SUMIFS(Data!$J$2:$J$508,Data!$A$2:$A$508,$A6,Data!$B$2:$B$508,Dashboard!$B$5)),"")</x:f>
        <x:v>741</x:v>
      </x:c>
      <x:c r="J6" s="8" t="n">
        <x:f>IF(AND($A6&gt;=Dashboard!$E$5,$A6&lt;=Dashboard!$H$5,Dashboard!$E$5&lt;=Dashboard!$H$5),IF(Dashboard!$B$5="ALL",SUMIFS(Data!$K$2:$K$508,Data!$A$2:$A$508,$A6),SUMIFS(Data!$K$2:$K$508,Data!$A$2:$A$508,$A6,Data!$B$2:$B$508,Dashboard!$B$5)),"")</x:f>
        <x:v>89</x:v>
      </x:c>
      <x:c r="K6" s="9" t="n">
        <x:f>IF(OR(C6="",C6=0),"",D6/C6)</x:f>
        <x:v>149.06448</x:v>
      </x:c>
      <x:c r="L6" s="16" t="n">
        <x:f>IF(OR(F6="",F6=0),"",G6/F6)</x:f>
        <x:v>0.029333333333333333</x:v>
      </x:c>
      <x:c r="M6" s="15" t="n">
        <x:f>IF(OR(F6="",F6=0),"",H6/F6)</x:f>
        <x:v>12.647043518518535</x:v>
      </x:c>
      <x:c r="N6" s="16" t="n">
        <x:f>IF(OR(I6="",I6=0),"",J6/I6)</x:f>
        <x:v>0.12010796221322537</x:v>
      </x:c>
      <x:c r="O6" s="16" t="n">
        <x:f>IF(OR(C6="",C6=0),"",I6/C6)</x:f>
        <x:v>0.988</x:v>
      </x:c>
      <x:c r="P6" s="16" t="str">
        <x:f>""</x:f>
      </x:c>
      <x:c r="Q6" s="2" t="str">
        <x:v>01/17</x:v>
      </x:c>
    </x:row>
    <x:row r="7" ht="22" customHeight="1">
      <x:c r="A7" s="4" t="d">
        <x:v>2017-02-01T00:00:00.000Z</x:v>
      </x:c>
      <x:c r="B7" s="8" t="n">
        <x:f>IF(AND($A7&gt;=Dashboard!$E$5,$A7&lt;=Dashboard!$H$5,Dashboard!$E$5&lt;=Dashboard!$H$5),IF(Dashboard!$B$5="ALL",SUMIFS(Data!$C$2:$C$508,Data!$A$2:$A$508,$A7),SUMIFS(Data!$C$2:$C$508,Data!$A$2:$A$508,$A7,Data!$B$2:$B$508,Dashboard!$B$5)),"")</x:f>
        <x:v>1780</x:v>
      </x:c>
      <x:c r="C7" s="8" t="n">
        <x:f>IF(AND($A7&gt;=Dashboard!$E$5,$A7&lt;=Dashboard!$H$5,Dashboard!$E$5&lt;=Dashboard!$H$5),IF(Dashboard!$B$5="ALL",SUMIFS(Data!$D$2:$D$508,Data!$A$2:$A$508,$A7),SUMIFS(Data!$D$2:$D$508,Data!$A$2:$A$508,$A7,Data!$B$2:$B$508,Dashboard!$B$5)),"")</x:f>
        <x:v>1653</x:v>
      </x:c>
      <x:c r="D7" s="9" t="n">
        <x:f>IF(AND($A7&gt;=Dashboard!$E$5,$A7&lt;=Dashboard!$H$5,Dashboard!$E$5&lt;=Dashboard!$H$5),IF(Dashboard!$B$5="ALL",SUMIFS(Data!$E$2:$E$508,Data!$A$2:$A$508,$A7),SUMIFS(Data!$E$2:$E$508,Data!$A$2:$A$508,$A7,Data!$B$2:$B$508,Dashboard!$B$5)),"")</x:f>
        <x:v>234223.4</x:v>
      </x:c>
      <x:c r="E7" s="9" t="n">
        <x:f>IF(AND($A7&gt;=Dashboard!$E$5,$A7&lt;=Dashboard!$H$5,Dashboard!$E$5&lt;=Dashboard!$H$5),IF(Dashboard!$B$5="ALL",SUMIFS(Data!$F$2:$F$508,Data!$A$2:$A$508,$A7),SUMIFS(Data!$F$2:$F$508,Data!$A$2:$A$508,$A7,Data!$B$2:$B$508,Dashboard!$B$5)),"")</x:f>
        <x:v>37015.91999999999</x:v>
      </x:c>
      <x:c r="F7" s="8" t="n">
        <x:f>IF(AND($A7&gt;=Dashboard!$E$5,$A7&lt;=Dashboard!$H$5,Dashboard!$E$5&lt;=Dashboard!$H$5),IF(Dashboard!$B$5="ALL",SUMIFS(Data!$G$2:$G$508,Data!$A$2:$A$508,$A7),SUMIFS(Data!$G$2:$G$508,Data!$A$2:$A$508,$A7,Data!$B$2:$B$508,Dashboard!$B$5)),"")</x:f>
        <x:v>1653</x:v>
      </x:c>
      <x:c r="G7" s="8" t="n">
        <x:f>IF(AND($A7&gt;=Dashboard!$E$5,$A7&lt;=Dashboard!$H$5,Dashboard!$E$5&lt;=Dashboard!$H$5),IF(Dashboard!$B$5="ALL",SUMIFS(Data!$H$2:$H$508,Data!$A$2:$A$508,$A7),SUMIFS(Data!$H$2:$H$508,Data!$A$2:$A$508,$A7,Data!$B$2:$B$508,Dashboard!$B$5)),"")</x:f>
        <x:v>49</x:v>
      </x:c>
      <x:c r="H7" s="8" t="n">
        <x:f>IF(AND($A7&gt;=Dashboard!$E$5,$A7&lt;=Dashboard!$H$5,Dashboard!$E$5&lt;=Dashboard!$H$5),IF(Dashboard!$B$5="ALL",SUMIFS(Data!$I$2:$I$508,Data!$A$2:$A$508,$A7),SUMIFS(Data!$I$2:$I$508,Data!$A$2:$A$508,$A7,Data!$B$2:$B$508,Dashboard!$B$5)),"")</x:f>
        <x:v>21768.068136574002</x:v>
      </x:c>
      <x:c r="I7" s="8" t="n">
        <x:f>IF(AND($A7&gt;=Dashboard!$E$5,$A7&lt;=Dashboard!$H$5,Dashboard!$E$5&lt;=Dashboard!$H$5),IF(Dashboard!$B$5="ALL",SUMIFS(Data!$J$2:$J$508,Data!$A$2:$A$508,$A7),SUMIFS(Data!$J$2:$J$508,Data!$A$2:$A$508,$A7,Data!$B$2:$B$508,Dashboard!$B$5)),"")</x:f>
        <x:v>1643</x:v>
      </x:c>
      <x:c r="J7" s="8" t="n">
        <x:f>IF(AND($A7&gt;=Dashboard!$E$5,$A7&lt;=Dashboard!$H$5,Dashboard!$E$5&lt;=Dashboard!$H$5),IF(Dashboard!$B$5="ALL",SUMIFS(Data!$K$2:$K$508,Data!$A$2:$A$508,$A7),SUMIFS(Data!$K$2:$K$508,Data!$A$2:$A$508,$A7,Data!$B$2:$B$508,Dashboard!$B$5)),"")</x:f>
        <x:v>182</x:v>
      </x:c>
      <x:c r="K7" s="9" t="n">
        <x:f>IF(OR(C7="",C7=0),"",D7/C7)</x:f>
        <x:v>141.69594676346037</x:v>
      </x:c>
      <x:c r="L7" s="16" t="n">
        <x:f>IF(OR(F7="",F7=0),"",G7/F7)</x:f>
        <x:v>0.029643073200241985</x:v>
      </x:c>
      <x:c r="M7" s="15" t="n">
        <x:f>IF(OR(F7="",F7=0),"",H7/F7)</x:f>
        <x:v>13.168825248986087</x:v>
      </x:c>
      <x:c r="N7" s="16" t="n">
        <x:f>IF(OR(I7="",I7=0),"",J7/I7)</x:f>
        <x:v>0.11077297626293366</x:v>
      </x:c>
      <x:c r="O7" s="16" t="n">
        <x:f>IF(OR(C7="",C7=0),"",I7/C7)</x:f>
        <x:v>0.9939503932244405</x:v>
      </x:c>
      <x:c r="P7" s="16" t="n">
        <x:f>IF(OR(D7="",D6="",D6=0),"",D7/D6-1)</x:f>
        <x:v>1.0950521993345879</x:v>
      </x:c>
      <x:c r="Q7" s="2" t="str">
        <x:v>02/17</x:v>
      </x:c>
    </x:row>
    <x:row r="8" ht="22" customHeight="1">
      <x:c r="A8" s="4" t="d">
        <x:v>2017-03-01T00:00:00.000Z</x:v>
      </x:c>
      <x:c r="B8" s="8" t="n">
        <x:f>IF(AND($A8&gt;=Dashboard!$E$5,$A8&lt;=Dashboard!$H$5,Dashboard!$E$5&lt;=Dashboard!$H$5),IF(Dashboard!$B$5="ALL",SUMIFS(Data!$C$2:$C$508,Data!$A$2:$A$508,$A8),SUMIFS(Data!$C$2:$C$508,Data!$A$2:$A$508,$A8,Data!$B$2:$B$508,Dashboard!$B$5)),"")</x:f>
        <x:v>2682</x:v>
      </x:c>
      <x:c r="C8" s="8" t="n">
        <x:f>IF(AND($A8&gt;=Dashboard!$E$5,$A8&lt;=Dashboard!$H$5,Dashboard!$E$5&lt;=Dashboard!$H$5),IF(Dashboard!$B$5="ALL",SUMIFS(Data!$D$2:$D$508,Data!$A$2:$A$508,$A8),SUMIFS(Data!$D$2:$D$508,Data!$A$2:$A$508,$A8,Data!$B$2:$B$508,Dashboard!$B$5)),"")</x:f>
        <x:v>2546</x:v>
      </x:c>
      <x:c r="D8" s="9" t="n">
        <x:f>IF(AND($A8&gt;=Dashboard!$E$5,$A8&lt;=Dashboard!$H$5,Dashboard!$E$5&lt;=Dashboard!$H$5),IF(Dashboard!$B$5="ALL",SUMIFS(Data!$E$2:$E$508,Data!$A$2:$A$508,$A8),SUMIFS(Data!$E$2:$E$508,Data!$A$2:$A$508,$A8,Data!$B$2:$B$508,Dashboard!$B$5)),"")</x:f>
        <x:v>359198.85</x:v>
      </x:c>
      <x:c r="E8" s="9" t="n">
        <x:f>IF(AND($A8&gt;=Dashboard!$E$5,$A8&lt;=Dashboard!$H$5,Dashboard!$E$5&lt;=Dashboard!$H$5),IF(Dashboard!$B$5="ALL",SUMIFS(Data!$F$2:$F$508,Data!$A$2:$A$508,$A8),SUMIFS(Data!$F$2:$F$508,Data!$A$2:$A$508,$A8,Data!$B$2:$B$508,Dashboard!$B$5)),"")</x:f>
        <x:v>55132.1</x:v>
      </x:c>
      <x:c r="F8" s="8" t="n">
        <x:f>IF(AND($A8&gt;=Dashboard!$E$5,$A8&lt;=Dashboard!$H$5,Dashboard!$E$5&lt;=Dashboard!$H$5),IF(Dashboard!$B$5="ALL",SUMIFS(Data!$G$2:$G$508,Data!$A$2:$A$508,$A8),SUMIFS(Data!$G$2:$G$508,Data!$A$2:$A$508,$A8,Data!$B$2:$B$508,Dashboard!$B$5)),"")</x:f>
        <x:v>2546</x:v>
      </x:c>
      <x:c r="G8" s="8" t="n">
        <x:f>IF(AND($A8&gt;=Dashboard!$E$5,$A8&lt;=Dashboard!$H$5,Dashboard!$E$5&lt;=Dashboard!$H$5),IF(Dashboard!$B$5="ALL",SUMIFS(Data!$H$2:$H$508,Data!$A$2:$A$508,$A8),SUMIFS(Data!$H$2:$H$508,Data!$A$2:$A$508,$A8,Data!$B$2:$B$508,Dashboard!$B$5)),"")</x:f>
        <x:v>116</x:v>
      </x:c>
      <x:c r="H8" s="8" t="n">
        <x:f>IF(AND($A8&gt;=Dashboard!$E$5,$A8&lt;=Dashboard!$H$5,Dashboard!$E$5&lt;=Dashboard!$H$5),IF(Dashboard!$B$5="ALL",SUMIFS(Data!$I$2:$I$508,Data!$A$2:$A$508,$A8),SUMIFS(Data!$I$2:$I$508,Data!$A$2:$A$508,$A8,Data!$B$2:$B$508,Dashboard!$B$5)),"")</x:f>
        <x:v>32973.7157060185</x:v>
      </x:c>
      <x:c r="I8" s="8" t="n">
        <x:f>IF(AND($A8&gt;=Dashboard!$E$5,$A8&lt;=Dashboard!$H$5,Dashboard!$E$5&lt;=Dashboard!$H$5),IF(Dashboard!$B$5="ALL",SUMIFS(Data!$J$2:$J$508,Data!$A$2:$A$508,$A8),SUMIFS(Data!$J$2:$J$508,Data!$A$2:$A$508,$A8,Data!$B$2:$B$508,Dashboard!$B$5)),"")</x:f>
        <x:v>2527</x:v>
      </x:c>
      <x:c r="J8" s="8" t="n">
        <x:f>IF(AND($A8&gt;=Dashboard!$E$5,$A8&lt;=Dashboard!$H$5,Dashboard!$E$5&lt;=Dashboard!$H$5),IF(Dashboard!$B$5="ALL",SUMIFS(Data!$K$2:$K$508,Data!$A$2:$A$508,$A8),SUMIFS(Data!$K$2:$K$508,Data!$A$2:$A$508,$A8,Data!$B$2:$B$508,Dashboard!$B$5)),"")</x:f>
        <x:v>284</x:v>
      </x:c>
      <x:c r="K8" s="9" t="n">
        <x:f>IF(OR(C8="",C8=0),"",D8/C8)</x:f>
        <x:v>141.0836017282011</x:v>
      </x:c>
      <x:c r="L8" s="16" t="n">
        <x:f>IF(OR(F8="",F8=0),"",G8/F8)</x:f>
        <x:v>0.04556166535742341</x:v>
      </x:c>
      <x:c r="M8" s="15" t="n">
        <x:f>IF(OR(F8="",F8=0),"",H8/F8)</x:f>
        <x:v>12.951184487831304</x:v>
      </x:c>
      <x:c r="N8" s="16" t="n">
        <x:f>IF(OR(I8="",I8=0),"",J8/I8)</x:f>
        <x:v>0.11238622872971904</x:v>
      </x:c>
      <x:c r="O8" s="16" t="n">
        <x:f>IF(OR(C8="",C8=0),"",I8/C8)</x:f>
        <x:v>0.9925373134328358</x:v>
      </x:c>
      <x:c r="P8" s="16" t="n">
        <x:f>IF(OR(D8="",D7="",D7=0),"",D8/D7-1)</x:f>
        <x:v>0.5335737163750505</x:v>
      </x:c>
      <x:c r="Q8" s="2" t="str">
        <x:v>03/17</x:v>
      </x:c>
    </x:row>
    <x:row r="9" ht="22" customHeight="1">
      <x:c r="A9" s="4" t="d">
        <x:v>2017-04-01T00:00:00.000Z</x:v>
      </x:c>
      <x:c r="B9" s="8" t="n">
        <x:f>IF(AND($A9&gt;=Dashboard!$E$5,$A9&lt;=Dashboard!$H$5,Dashboard!$E$5&lt;=Dashboard!$H$5),IF(Dashboard!$B$5="ALL",SUMIFS(Data!$C$2:$C$508,Data!$A$2:$A$508,$A9),SUMIFS(Data!$C$2:$C$508,Data!$A$2:$A$508,$A9,Data!$B$2:$B$508,Dashboard!$B$5)),"")</x:f>
        <x:v>2404</x:v>
      </x:c>
      <x:c r="C9" s="8" t="n">
        <x:f>IF(AND($A9&gt;=Dashboard!$E$5,$A9&lt;=Dashboard!$H$5,Dashboard!$E$5&lt;=Dashboard!$H$5),IF(Dashboard!$B$5="ALL",SUMIFS(Data!$D$2:$D$508,Data!$A$2:$A$508,$A9),SUMIFS(Data!$D$2:$D$508,Data!$A$2:$A$508,$A9,Data!$B$2:$B$508,Dashboard!$B$5)),"")</x:f>
        <x:v>2303</x:v>
      </x:c>
      <x:c r="D9" s="9" t="n">
        <x:f>IF(AND($A9&gt;=Dashboard!$E$5,$A9&lt;=Dashboard!$H$5,Dashboard!$E$5&lt;=Dashboard!$H$5),IF(Dashboard!$B$5="ALL",SUMIFS(Data!$E$2:$E$508,Data!$A$2:$A$508,$A9),SUMIFS(Data!$E$2:$E$508,Data!$A$2:$A$508,$A9,Data!$B$2:$B$508,Dashboard!$B$5)),"")</x:f>
        <x:v>340669.68</x:v>
      </x:c>
      <x:c r="E9" s="9" t="n">
        <x:f>IF(AND($A9&gt;=Dashboard!$E$5,$A9&lt;=Dashboard!$H$5,Dashboard!$E$5&lt;=Dashboard!$H$5),IF(Dashboard!$B$5="ALL",SUMIFS(Data!$F$2:$F$508,Data!$A$2:$A$508,$A9),SUMIFS(Data!$F$2:$F$508,Data!$A$2:$A$508,$A9,Data!$B$2:$B$508,Dashboard!$B$5)),"")</x:f>
        <x:v>50142.72</x:v>
      </x:c>
      <x:c r="F9" s="8" t="n">
        <x:f>IF(AND($A9&gt;=Dashboard!$E$5,$A9&lt;=Dashboard!$H$5,Dashboard!$E$5&lt;=Dashboard!$H$5),IF(Dashboard!$B$5="ALL",SUMIFS(Data!$G$2:$G$508,Data!$A$2:$A$508,$A9),SUMIFS(Data!$G$2:$G$508,Data!$A$2:$A$508,$A9,Data!$B$2:$B$508,Dashboard!$B$5)),"")</x:f>
        <x:v>2303</x:v>
      </x:c>
      <x:c r="G9" s="8" t="n">
        <x:f>IF(AND($A9&gt;=Dashboard!$E$5,$A9&lt;=Dashboard!$H$5,Dashboard!$E$5&lt;=Dashboard!$H$5),IF(Dashboard!$B$5="ALL",SUMIFS(Data!$H$2:$H$508,Data!$A$2:$A$508,$A9),SUMIFS(Data!$H$2:$H$508,Data!$A$2:$A$508,$A9,Data!$B$2:$B$508,Dashboard!$B$5)),"")</x:f>
        <x:v>151</x:v>
      </x:c>
      <x:c r="H9" s="8" t="n">
        <x:f>IF(AND($A9&gt;=Dashboard!$E$5,$A9&lt;=Dashboard!$H$5,Dashboard!$E$5&lt;=Dashboard!$H$5),IF(Dashboard!$B$5="ALL",SUMIFS(Data!$I$2:$I$508,Data!$A$2:$A$508,$A9),SUMIFS(Data!$I$2:$I$508,Data!$A$2:$A$508,$A9,Data!$B$2:$B$508,Dashboard!$B$5)),"")</x:f>
        <x:v>34355.95248842589</x:v>
      </x:c>
      <x:c r="I9" s="8" t="n">
        <x:f>IF(AND($A9&gt;=Dashboard!$E$5,$A9&lt;=Dashboard!$H$5,Dashboard!$E$5&lt;=Dashboard!$H$5),IF(Dashboard!$B$5="ALL",SUMIFS(Data!$J$2:$J$508,Data!$A$2:$A$508,$A9),SUMIFS(Data!$J$2:$J$508,Data!$A$2:$A$508,$A9,Data!$B$2:$B$508,Dashboard!$B$5)),"")</x:f>
        <x:v>2290</x:v>
      </x:c>
      <x:c r="J9" s="8" t="n">
        <x:f>IF(AND($A9&gt;=Dashboard!$E$5,$A9&lt;=Dashboard!$H$5,Dashboard!$E$5&lt;=Dashboard!$H$5),IF(Dashboard!$B$5="ALL",SUMIFS(Data!$K$2:$K$508,Data!$A$2:$A$508,$A9),SUMIFS(Data!$K$2:$K$508,Data!$A$2:$A$508,$A9,Data!$B$2:$B$508,Dashboard!$B$5)),"")</x:f>
        <x:v>296</x:v>
      </x:c>
      <x:c r="K9" s="9" t="n">
        <x:f>IF(OR(C9="",C9=0),"",D9/C9)</x:f>
        <x:v>147.9243074250977</x:v>
      </x:c>
      <x:c r="L9" s="16" t="n">
        <x:f>IF(OR(F9="",F9=0),"",G9/F9)</x:f>
        <x:v>0.06556665219279201</x:v>
      </x:c>
      <x:c r="M9" s="15" t="n">
        <x:f>IF(OR(F9="",F9=0),"",H9/F9)</x:f>
        <x:v>14.917912500402037</x:v>
      </x:c>
      <x:c r="N9" s="16" t="n">
        <x:f>IF(OR(I9="",I9=0),"",J9/I9)</x:f>
        <x:v>0.12925764192139738</x:v>
      </x:c>
      <x:c r="O9" s="16" t="n">
        <x:f>IF(OR(C9="",C9=0),"",I9/C9)</x:f>
        <x:v>0.9943551888840643</x:v>
      </x:c>
      <x:c r="P9" s="16" t="n">
        <x:f>IF(OR(D9="",D8="",D8=0),"",D9/D8-1)</x:f>
        <x:v>-0.051584714149279676</x:v>
      </x:c>
      <x:c r="Q9" s="2" t="str">
        <x:v>04/17</x:v>
      </x:c>
    </x:row>
    <x:row r="10" ht="22" customHeight="1">
      <x:c r="A10" s="4" t="d">
        <x:v>2017-05-01T00:00:00.000Z</x:v>
      </x:c>
      <x:c r="B10" s="8" t="n">
        <x:f>IF(AND($A10&gt;=Dashboard!$E$5,$A10&lt;=Dashboard!$H$5,Dashboard!$E$5&lt;=Dashboard!$H$5),IF(Dashboard!$B$5="ALL",SUMIFS(Data!$C$2:$C$508,Data!$A$2:$A$508,$A10),SUMIFS(Data!$C$2:$C$508,Data!$A$2:$A$508,$A10,Data!$B$2:$B$508,Dashboard!$B$5)),"")</x:f>
        <x:v>3700</x:v>
      </x:c>
      <x:c r="C10" s="8" t="n">
        <x:f>IF(AND($A10&gt;=Dashboard!$E$5,$A10&lt;=Dashboard!$H$5,Dashboard!$E$5&lt;=Dashboard!$H$5),IF(Dashboard!$B$5="ALL",SUMIFS(Data!$D$2:$D$508,Data!$A$2:$A$508,$A10),SUMIFS(Data!$D$2:$D$508,Data!$A$2:$A$508,$A10,Data!$B$2:$B$508,Dashboard!$B$5)),"")</x:f>
        <x:v>3546</x:v>
      </x:c>
      <x:c r="D10" s="9" t="n">
        <x:f>IF(AND($A10&gt;=Dashboard!$E$5,$A10&lt;=Dashboard!$H$5,Dashboard!$E$5&lt;=Dashboard!$H$5),IF(Dashboard!$B$5="ALL",SUMIFS(Data!$E$2:$E$508,Data!$A$2:$A$508,$A10),SUMIFS(Data!$E$2:$E$508,Data!$A$2:$A$508,$A10,Data!$B$2:$B$508,Dashboard!$B$5)),"")</x:f>
        <x:v>489338.25000000006</x:v>
      </x:c>
      <x:c r="E10" s="9" t="n">
        <x:f>IF(AND($A10&gt;=Dashboard!$E$5,$A10&lt;=Dashboard!$H$5,Dashboard!$E$5&lt;=Dashboard!$H$5),IF(Dashboard!$B$5="ALL",SUMIFS(Data!$F$2:$F$508,Data!$A$2:$A$508,$A10),SUMIFS(Data!$F$2:$F$508,Data!$A$2:$A$508,$A10,Data!$B$2:$B$508,Dashboard!$B$5)),"")</x:f>
        <x:v>77513.15000000001</x:v>
      </x:c>
      <x:c r="F10" s="8" t="n">
        <x:f>IF(AND($A10&gt;=Dashboard!$E$5,$A10&lt;=Dashboard!$H$5,Dashboard!$E$5&lt;=Dashboard!$H$5),IF(Dashboard!$B$5="ALL",SUMIFS(Data!$G$2:$G$508,Data!$A$2:$A$508,$A10),SUMIFS(Data!$G$2:$G$508,Data!$A$2:$A$508,$A10,Data!$B$2:$B$508,Dashboard!$B$5)),"")</x:f>
        <x:v>3545</x:v>
      </x:c>
      <x:c r="G10" s="8" t="n">
        <x:f>IF(AND($A10&gt;=Dashboard!$E$5,$A10&lt;=Dashboard!$H$5,Dashboard!$E$5&lt;=Dashboard!$H$5),IF(Dashboard!$B$5="ALL",SUMIFS(Data!$H$2:$H$508,Data!$A$2:$A$508,$A10),SUMIFS(Data!$H$2:$H$508,Data!$A$2:$A$508,$A10,Data!$B$2:$B$508,Dashboard!$B$5)),"")</x:f>
        <x:v>106</x:v>
      </x:c>
      <x:c r="H10" s="8" t="n">
        <x:f>IF(AND($A10&gt;=Dashboard!$E$5,$A10&lt;=Dashboard!$H$5,Dashboard!$E$5&lt;=Dashboard!$H$5),IF(Dashboard!$B$5="ALL",SUMIFS(Data!$I$2:$I$508,Data!$A$2:$A$508,$A10),SUMIFS(Data!$I$2:$I$508,Data!$A$2:$A$508,$A10,Data!$B$2:$B$508,Dashboard!$B$5)),"")</x:f>
        <x:v>40137.77674768521</x:v>
      </x:c>
      <x:c r="I10" s="8" t="n">
        <x:f>IF(AND($A10&gt;=Dashboard!$E$5,$A10&lt;=Dashboard!$H$5,Dashboard!$E$5&lt;=Dashboard!$H$5),IF(Dashboard!$B$5="ALL",SUMIFS(Data!$J$2:$J$508,Data!$A$2:$A$508,$A10),SUMIFS(Data!$J$2:$J$508,Data!$A$2:$A$508,$A10,Data!$B$2:$B$508,Dashboard!$B$5)),"")</x:f>
        <x:v>3518</x:v>
      </x:c>
      <x:c r="J10" s="8" t="n">
        <x:f>IF(AND($A10&gt;=Dashboard!$E$5,$A10&lt;=Dashboard!$H$5,Dashboard!$E$5&lt;=Dashboard!$H$5),IF(Dashboard!$B$5="ALL",SUMIFS(Data!$K$2:$K$508,Data!$A$2:$A$508,$A10),SUMIFS(Data!$K$2:$K$508,Data!$A$2:$A$508,$A10,Data!$B$2:$B$508,Dashboard!$B$5)),"")</x:f>
        <x:v>354</x:v>
      </x:c>
      <x:c r="K10" s="9" t="n">
        <x:f>IF(OR(C10="",C10=0),"",D10/C10)</x:f>
        <x:v>137.99725042301185</x:v>
      </x:c>
      <x:c r="L10" s="16" t="n">
        <x:f>IF(OR(F10="",F10=0),"",G10/F10)</x:f>
        <x:v>0.029901269393511988</x:v>
      </x:c>
      <x:c r="M10" s="15" t="n">
        <x:f>IF(OR(F10="",F10=0),"",H10/F10)</x:f>
        <x:v>11.322362975369593</x:v>
      </x:c>
      <x:c r="N10" s="16" t="n">
        <x:f>IF(OR(I10="",I10=0),"",J10/I10)</x:f>
        <x:v>0.10062535531552018</x:v>
      </x:c>
      <x:c r="O10" s="16" t="n">
        <x:f>IF(OR(C10="",C10=0),"",I10/C10)</x:f>
        <x:v>0.9921037789058094</x:v>
      </x:c>
      <x:c r="P10" s="16" t="n">
        <x:f>IF(OR(D10="",D9="",D9=0),"",D10/D9-1)</x:f>
        <x:v>0.4364009441638601</x:v>
      </x:c>
      <x:c r="Q10" s="2" t="str">
        <x:v>05/17</x:v>
      </x:c>
    </x:row>
    <x:row r="11" ht="22" customHeight="1">
      <x:c r="A11" s="4" t="d">
        <x:v>2017-06-01T00:00:00.000Z</x:v>
      </x:c>
      <x:c r="B11" s="8" t="n">
        <x:f>IF(AND($A11&gt;=Dashboard!$E$5,$A11&lt;=Dashboard!$H$5,Dashboard!$E$5&lt;=Dashboard!$H$5),IF(Dashboard!$B$5="ALL",SUMIFS(Data!$C$2:$C$508,Data!$A$2:$A$508,$A11),SUMIFS(Data!$C$2:$C$508,Data!$A$2:$A$508,$A11,Data!$B$2:$B$508,Dashboard!$B$5)),"")</x:f>
        <x:v>3245</x:v>
      </x:c>
      <x:c r="C11" s="8" t="n">
        <x:f>IF(AND($A11&gt;=Dashboard!$E$5,$A11&lt;=Dashboard!$H$5,Dashboard!$E$5&lt;=Dashboard!$H$5),IF(Dashboard!$B$5="ALL",SUMIFS(Data!$D$2:$D$508,Data!$A$2:$A$508,$A11),SUMIFS(Data!$D$2:$D$508,Data!$A$2:$A$508,$A11,Data!$B$2:$B$508,Dashboard!$B$5)),"")</x:f>
        <x:v>3135</x:v>
      </x:c>
      <x:c r="D11" s="9" t="n">
        <x:f>IF(AND($A11&gt;=Dashboard!$E$5,$A11&lt;=Dashboard!$H$5,Dashboard!$E$5&lt;=Dashboard!$H$5),IF(Dashboard!$B$5="ALL",SUMIFS(Data!$E$2:$E$508,Data!$A$2:$A$508,$A11),SUMIFS(Data!$E$2:$E$508,Data!$A$2:$A$508,$A11,Data!$B$2:$B$508,Dashboard!$B$5)),"")</x:f>
        <x:v>421923.37000000005</x:v>
      </x:c>
      <x:c r="E11" s="9" t="n">
        <x:f>IF(AND($A11&gt;=Dashboard!$E$5,$A11&lt;=Dashboard!$H$5,Dashboard!$E$5&lt;=Dashboard!$H$5),IF(Dashboard!$B$5="ALL",SUMIFS(Data!$F$2:$F$508,Data!$A$2:$A$508,$A11),SUMIFS(Data!$F$2:$F$508,Data!$A$2:$A$508,$A11,Data!$B$2:$B$508,Dashboard!$B$5)),"")</x:f>
        <x:v>68127</x:v>
      </x:c>
      <x:c r="F11" s="8" t="n">
        <x:f>IF(AND($A11&gt;=Dashboard!$E$5,$A11&lt;=Dashboard!$H$5,Dashboard!$E$5&lt;=Dashboard!$H$5),IF(Dashboard!$B$5="ALL",SUMIFS(Data!$G$2:$G$508,Data!$A$2:$A$508,$A11),SUMIFS(Data!$G$2:$G$508,Data!$A$2:$A$508,$A11,Data!$B$2:$B$508,Dashboard!$B$5)),"")</x:f>
        <x:v>3135</x:v>
      </x:c>
      <x:c r="G11" s="8" t="n">
        <x:f>IF(AND($A11&gt;=Dashboard!$E$5,$A11&lt;=Dashboard!$H$5,Dashboard!$E$5&lt;=Dashboard!$H$5),IF(Dashboard!$B$5="ALL",SUMIFS(Data!$H$2:$H$508,Data!$A$2:$A$508,$A11),SUMIFS(Data!$H$2:$H$508,Data!$A$2:$A$508,$A11,Data!$B$2:$B$508,Dashboard!$B$5)),"")</x:f>
        <x:v>95</x:v>
      </x:c>
      <x:c r="H11" s="8" t="n">
        <x:f>IF(AND($A11&gt;=Dashboard!$E$5,$A11&lt;=Dashboard!$H$5,Dashboard!$E$5&lt;=Dashboard!$H$5),IF(Dashboard!$B$5="ALL",SUMIFS(Data!$I$2:$I$508,Data!$A$2:$A$508,$A11),SUMIFS(Data!$I$2:$I$508,Data!$A$2:$A$508,$A11,Data!$B$2:$B$508,Dashboard!$B$5)),"")</x:f>
        <x:v>37656.2804282411</x:v>
      </x:c>
      <x:c r="I11" s="8" t="n">
        <x:f>IF(AND($A11&gt;=Dashboard!$E$5,$A11&lt;=Dashboard!$H$5,Dashboard!$E$5&lt;=Dashboard!$H$5),IF(Dashboard!$B$5="ALL",SUMIFS(Data!$J$2:$J$508,Data!$A$2:$A$508,$A11),SUMIFS(Data!$J$2:$J$508,Data!$A$2:$A$508,$A11,Data!$B$2:$B$508,Dashboard!$B$5)),"")</x:f>
        <x:v>3111</x:v>
      </x:c>
      <x:c r="J11" s="8" t="n">
        <x:f>IF(AND($A11&gt;=Dashboard!$E$5,$A11&lt;=Dashboard!$H$5,Dashboard!$E$5&lt;=Dashboard!$H$5),IF(Dashboard!$B$5="ALL",SUMIFS(Data!$K$2:$K$508,Data!$A$2:$A$508,$A11),SUMIFS(Data!$K$2:$K$508,Data!$A$2:$A$508,$A11,Data!$B$2:$B$508,Dashboard!$B$5)),"")</x:f>
        <x:v>334</x:v>
      </x:c>
      <x:c r="K11" s="9" t="n">
        <x:f>IF(OR(C11="",C11=0),"",D11/C11)</x:f>
        <x:v>134.58480701754388</x:v>
      </x:c>
      <x:c r="L11" s="16" t="n">
        <x:f>IF(OR(F11="",F11=0),"",G11/F11)</x:f>
        <x:v>0.030303030303030304</x:v>
      </x:c>
      <x:c r="M11" s="15" t="n">
        <x:f>IF(OR(F11="",F11=0),"",H11/F11)</x:f>
        <x:v>12.011572704383127</x:v>
      </x:c>
      <x:c r="N11" s="16" t="n">
        <x:f>IF(OR(I11="",I11=0),"",J11/I11)</x:f>
        <x:v>0.10736097717775635</x:v>
      </x:c>
      <x:c r="O11" s="16" t="n">
        <x:f>IF(OR(C11="",C11=0),"",I11/C11)</x:f>
        <x:v>0.9923444976076555</x:v>
      </x:c>
      <x:c r="P11" s="16" t="n">
        <x:f>IF(OR(D11="",D10="",D10=0),"",D11/D10-1)</x:f>
        <x:v>-0.13776744409414143</x:v>
      </x:c>
      <x:c r="Q11" s="2" t="str">
        <x:v>06/17</x:v>
      </x:c>
    </x:row>
    <x:row r="12" ht="22" customHeight="1">
      <x:c r="A12" s="4" t="d">
        <x:v>2017-07-01T00:00:00.000Z</x:v>
      </x:c>
      <x:c r="B12" s="8" t="n">
        <x:f>IF(AND($A12&gt;=Dashboard!$E$5,$A12&lt;=Dashboard!$H$5,Dashboard!$E$5&lt;=Dashboard!$H$5),IF(Dashboard!$B$5="ALL",SUMIFS(Data!$C$2:$C$508,Data!$A$2:$A$508,$A12),SUMIFS(Data!$C$2:$C$508,Data!$A$2:$A$508,$A12,Data!$B$2:$B$508,Dashboard!$B$5)),"")</x:f>
        <x:v>4026</x:v>
      </x:c>
      <x:c r="C12" s="8" t="n">
        <x:f>IF(AND($A12&gt;=Dashboard!$E$5,$A12&lt;=Dashboard!$H$5,Dashboard!$E$5&lt;=Dashboard!$H$5),IF(Dashboard!$B$5="ALL",SUMIFS(Data!$D$2:$D$508,Data!$A$2:$A$508,$A12),SUMIFS(Data!$D$2:$D$508,Data!$A$2:$A$508,$A12,Data!$B$2:$B$508,Dashboard!$B$5)),"")</x:f>
        <x:v>3872</x:v>
      </x:c>
      <x:c r="D12" s="9" t="n">
        <x:f>IF(AND($A12&gt;=Dashboard!$E$5,$A12&lt;=Dashboard!$H$5,Dashboard!$E$5&lt;=Dashboard!$H$5),IF(Dashboard!$B$5="ALL",SUMIFS(Data!$E$2:$E$508,Data!$A$2:$A$508,$A12),SUMIFS(Data!$E$2:$E$508,Data!$A$2:$A$508,$A12,Data!$B$2:$B$508,Dashboard!$B$5)),"")</x:f>
        <x:v>481604.52</x:v>
      </x:c>
      <x:c r="E12" s="9" t="n">
        <x:f>IF(AND($A12&gt;=Dashboard!$E$5,$A12&lt;=Dashboard!$H$5,Dashboard!$E$5&lt;=Dashboard!$H$5),IF(Dashboard!$B$5="ALL",SUMIFS(Data!$F$2:$F$508,Data!$A$2:$A$508,$A12),SUMIFS(Data!$F$2:$F$508,Data!$A$2:$A$508,$A12,Data!$B$2:$B$508,Dashboard!$B$5)),"")</x:f>
        <x:v>84694.56</x:v>
      </x:c>
      <x:c r="F12" s="8" t="n">
        <x:f>IF(AND($A12&gt;=Dashboard!$E$5,$A12&lt;=Dashboard!$H$5,Dashboard!$E$5&lt;=Dashboard!$H$5),IF(Dashboard!$B$5="ALL",SUMIFS(Data!$G$2:$G$508,Data!$A$2:$A$508,$A12),SUMIFS(Data!$G$2:$G$508,Data!$A$2:$A$508,$A12,Data!$B$2:$B$508,Dashboard!$B$5)),"")</x:f>
        <x:v>3872</x:v>
      </x:c>
      <x:c r="G12" s="8" t="n">
        <x:f>IF(AND($A12&gt;=Dashboard!$E$5,$A12&lt;=Dashboard!$H$5,Dashboard!$E$5&lt;=Dashboard!$H$5),IF(Dashboard!$B$5="ALL",SUMIFS(Data!$H$2:$H$508,Data!$A$2:$A$508,$A12),SUMIFS(Data!$H$2:$H$508,Data!$A$2:$A$508,$A12,Data!$B$2:$B$508,Dashboard!$B$5)),"")</x:f>
        <x:v>108</x:v>
      </x:c>
      <x:c r="H12" s="8" t="n">
        <x:f>IF(AND($A12&gt;=Dashboard!$E$5,$A12&lt;=Dashboard!$H$5,Dashboard!$E$5&lt;=Dashboard!$H$5),IF(Dashboard!$B$5="ALL",SUMIFS(Data!$I$2:$I$508,Data!$A$2:$A$508,$A12),SUMIFS(Data!$I$2:$I$508,Data!$A$2:$A$508,$A12,Data!$B$2:$B$508,Dashboard!$B$5)),"")</x:f>
        <x:v>44887.05980324071</x:v>
      </x:c>
      <x:c r="I12" s="8" t="n">
        <x:f>IF(AND($A12&gt;=Dashboard!$E$5,$A12&lt;=Dashboard!$H$5,Dashboard!$E$5&lt;=Dashboard!$H$5),IF(Dashboard!$B$5="ALL",SUMIFS(Data!$J$2:$J$508,Data!$A$2:$A$508,$A12),SUMIFS(Data!$J$2:$J$508,Data!$A$2:$A$508,$A12,Data!$B$2:$B$508,Dashboard!$B$5)),"")</x:f>
        <x:v>3842</x:v>
      </x:c>
      <x:c r="J12" s="8" t="n">
        <x:f>IF(AND($A12&gt;=Dashboard!$E$5,$A12&lt;=Dashboard!$H$5,Dashboard!$E$5&lt;=Dashboard!$H$5),IF(Dashboard!$B$5="ALL",SUMIFS(Data!$K$2:$K$508,Data!$A$2:$A$508,$A12),SUMIFS(Data!$K$2:$K$508,Data!$A$2:$A$508,$A12,Data!$B$2:$B$508,Dashboard!$B$5)),"")</x:f>
        <x:v>382</x:v>
      </x:c>
      <x:c r="K12" s="9" t="n">
        <x:f>IF(OR(C12="",C12=0),"",D12/C12)</x:f>
        <x:v>124.3813326446281</x:v>
      </x:c>
      <x:c r="L12" s="16" t="n">
        <x:f>IF(OR(F12="",F12=0),"",G12/F12)</x:f>
        <x:v>0.027892561983471075</x:v>
      </x:c>
      <x:c r="M12" s="15" t="n">
        <x:f>IF(OR(F12="",F12=0),"",H12/F12)</x:f>
        <x:v>11.592732387200595</x:v>
      </x:c>
      <x:c r="N12" s="16" t="n">
        <x:f>IF(OR(I12="",I12=0),"",J12/I12)</x:f>
        <x:v>0.09942738157209786</x:v>
      </x:c>
      <x:c r="O12" s="16" t="n">
        <x:f>IF(OR(C12="",C12=0),"",I12/C12)</x:f>
        <x:v>0.9922520661157025</x:v>
      </x:c>
      <x:c r="P12" s="16" t="n">
        <x:f>IF(OR(D12="",D11="",D11=0),"",D12/D11-1)</x:f>
        <x:v>0.14145021168180372</x:v>
      </x:c>
      <x:c r="Q12" s="2" t="str">
        <x:v>07/17</x:v>
      </x:c>
    </x:row>
    <x:row r="13" ht="22" customHeight="1">
      <x:c r="A13" s="4" t="d">
        <x:v>2017-08-01T00:00:00.000Z</x:v>
      </x:c>
      <x:c r="B13" s="8" t="n">
        <x:f>IF(AND($A13&gt;=Dashboard!$E$5,$A13&lt;=Dashboard!$H$5,Dashboard!$E$5&lt;=Dashboard!$H$5),IF(Dashboard!$B$5="ALL",SUMIFS(Data!$C$2:$C$508,Data!$A$2:$A$508,$A13),SUMIFS(Data!$C$2:$C$508,Data!$A$2:$A$508,$A13,Data!$B$2:$B$508,Dashboard!$B$5)),"")</x:f>
        <x:v>4331</x:v>
      </x:c>
      <x:c r="C13" s="8" t="n">
        <x:f>IF(AND($A13&gt;=Dashboard!$E$5,$A13&lt;=Dashboard!$H$5,Dashboard!$E$5&lt;=Dashboard!$H$5),IF(Dashboard!$B$5="ALL",SUMIFS(Data!$D$2:$D$508,Data!$A$2:$A$508,$A13),SUMIFS(Data!$D$2:$D$508,Data!$A$2:$A$508,$A13,Data!$B$2:$B$508,Dashboard!$B$5)),"")</x:f>
        <x:v>4193</x:v>
      </x:c>
      <x:c r="D13" s="9" t="n">
        <x:f>IF(AND($A13&gt;=Dashboard!$E$5,$A13&lt;=Dashboard!$H$5,Dashboard!$E$5&lt;=Dashboard!$H$5),IF(Dashboard!$B$5="ALL",SUMIFS(Data!$E$2:$E$508,Data!$A$2:$A$508,$A13),SUMIFS(Data!$E$2:$E$508,Data!$A$2:$A$508,$A13,Data!$B$2:$B$508,Dashboard!$B$5)),"")</x:f>
        <x:v>554699.7</x:v>
      </x:c>
      <x:c r="E13" s="9" t="n">
        <x:f>IF(AND($A13&gt;=Dashboard!$E$5,$A13&lt;=Dashboard!$H$5,Dashboard!$E$5&lt;=Dashboard!$H$5),IF(Dashboard!$B$5="ALL",SUMIFS(Data!$F$2:$F$508,Data!$A$2:$A$508,$A13),SUMIFS(Data!$F$2:$F$508,Data!$A$2:$A$508,$A13,Data!$B$2:$B$508,Dashboard!$B$5)),"")</x:f>
        <x:v>91132.65999999999</x:v>
      </x:c>
      <x:c r="F13" s="8" t="n">
        <x:f>IF(AND($A13&gt;=Dashboard!$E$5,$A13&lt;=Dashboard!$H$5,Dashboard!$E$5&lt;=Dashboard!$H$5),IF(Dashboard!$B$5="ALL",SUMIFS(Data!$G$2:$G$508,Data!$A$2:$A$508,$A13),SUMIFS(Data!$G$2:$G$508,Data!$A$2:$A$508,$A13,Data!$B$2:$B$508,Dashboard!$B$5)),"")</x:f>
        <x:v>4193</x:v>
      </x:c>
      <x:c r="G13" s="8" t="n">
        <x:f>IF(AND($A13&gt;=Dashboard!$E$5,$A13&lt;=Dashboard!$H$5,Dashboard!$E$5&lt;=Dashboard!$H$5),IF(Dashboard!$B$5="ALL",SUMIFS(Data!$H$2:$H$508,Data!$A$2:$A$508,$A13),SUMIFS(Data!$H$2:$H$508,Data!$A$2:$A$508,$A13,Data!$B$2:$B$508,Dashboard!$B$5)),"")</x:f>
        <x:v>122</x:v>
      </x:c>
      <x:c r="H13" s="8" t="n">
        <x:f>IF(AND($A13&gt;=Dashboard!$E$5,$A13&lt;=Dashboard!$H$5,Dashboard!$E$5&lt;=Dashboard!$H$5),IF(Dashboard!$B$5="ALL",SUMIFS(Data!$I$2:$I$508,Data!$A$2:$A$508,$A13),SUMIFS(Data!$I$2:$I$508,Data!$A$2:$A$508,$A13,Data!$B$2:$B$508,Dashboard!$B$5)),"")</x:f>
        <x:v>46739.8936805554</x:v>
      </x:c>
      <x:c r="I13" s="8" t="n">
        <x:f>IF(AND($A13&gt;=Dashboard!$E$5,$A13&lt;=Dashboard!$H$5,Dashboard!$E$5&lt;=Dashboard!$H$5),IF(Dashboard!$B$5="ALL",SUMIFS(Data!$J$2:$J$508,Data!$A$2:$A$508,$A13),SUMIFS(Data!$J$2:$J$508,Data!$A$2:$A$508,$A13,Data!$B$2:$B$508,Dashboard!$B$5)),"")</x:f>
        <x:v>4165</x:v>
      </x:c>
      <x:c r="J13" s="8" t="n">
        <x:f>IF(AND($A13&gt;=Dashboard!$E$5,$A13&lt;=Dashboard!$H$5,Dashboard!$E$5&lt;=Dashboard!$H$5),IF(Dashboard!$B$5="ALL",SUMIFS(Data!$K$2:$K$508,Data!$A$2:$A$508,$A13),SUMIFS(Data!$K$2:$K$508,Data!$A$2:$A$508,$A13,Data!$B$2:$B$508,Dashboard!$B$5)),"")</x:f>
        <x:v>391</x:v>
      </x:c>
      <x:c r="K13" s="9" t="n">
        <x:f>IF(OR(C13="",C13=0),"",D13/C13)</x:f>
        <x:v>132.29184354877174</x:v>
      </x:c>
      <x:c r="L13" s="16" t="n">
        <x:f>IF(OR(F13="",F13=0),"",G13/F13)</x:f>
        <x:v>0.02909611256856666</x:v>
      </x:c>
      <x:c r="M13" s="15" t="n">
        <x:f>IF(OR(F13="",F13=0),"",H13/F13)</x:f>
        <x:v>11.147124655510469</x:v>
      </x:c>
      <x:c r="N13" s="16" t="n">
        <x:f>IF(OR(I13="",I13=0),"",J13/I13)</x:f>
        <x:v>0.09387755102040816</x:v>
      </x:c>
      <x:c r="O13" s="16" t="n">
        <x:f>IF(OR(C13="",C13=0),"",I13/C13)</x:f>
        <x:v>0.993322203672788</x:v>
      </x:c>
      <x:c r="P13" s="16" t="n">
        <x:f>IF(OR(D13="",D12="",D12=0),"",D13/D12-1)</x:f>
        <x:v>0.15177428152044747</x:v>
      </x:c>
      <x:c r="Q13" s="2" t="str">
        <x:v>08/17</x:v>
      </x:c>
    </x:row>
    <x:row r="14" ht="22" customHeight="1">
      <x:c r="A14" s="4" t="d">
        <x:v>2017-09-01T00:00:00.000Z</x:v>
      </x:c>
      <x:c r="B14" s="8" t="n">
        <x:f>IF(AND($A14&gt;=Dashboard!$E$5,$A14&lt;=Dashboard!$H$5,Dashboard!$E$5&lt;=Dashboard!$H$5),IF(Dashboard!$B$5="ALL",SUMIFS(Data!$C$2:$C$508,Data!$A$2:$A$508,$A14),SUMIFS(Data!$C$2:$C$508,Data!$A$2:$A$508,$A14,Data!$B$2:$B$508,Dashboard!$B$5)),"")</x:f>
        <x:v>4285</x:v>
      </x:c>
      <x:c r="C14" s="8" t="n">
        <x:f>IF(AND($A14&gt;=Dashboard!$E$5,$A14&lt;=Dashboard!$H$5,Dashboard!$E$5&lt;=Dashboard!$H$5),IF(Dashboard!$B$5="ALL",SUMIFS(Data!$D$2:$D$508,Data!$A$2:$A$508,$A14),SUMIFS(Data!$D$2:$D$508,Data!$A$2:$A$508,$A14,Data!$B$2:$B$508,Dashboard!$B$5)),"")</x:f>
        <x:v>4150</x:v>
      </x:c>
      <x:c r="D14" s="9" t="n">
        <x:f>IF(AND($A14&gt;=Dashboard!$E$5,$A14&lt;=Dashboard!$H$5,Dashboard!$E$5&lt;=Dashboard!$H$5),IF(Dashboard!$B$5="ALL",SUMIFS(Data!$E$2:$E$508,Data!$A$2:$A$508,$A14),SUMIFS(Data!$E$2:$E$508,Data!$A$2:$A$508,$A14,Data!$B$2:$B$508,Dashboard!$B$5)),"")</x:f>
        <x:v>607399.67</x:v>
      </x:c>
      <x:c r="E14" s="9" t="n">
        <x:f>IF(AND($A14&gt;=Dashboard!$E$5,$A14&lt;=Dashboard!$H$5,Dashboard!$E$5&lt;=Dashboard!$H$5),IF(Dashboard!$B$5="ALL",SUMIFS(Data!$F$2:$F$508,Data!$A$2:$A$508,$A14),SUMIFS(Data!$F$2:$F$508,Data!$A$2:$A$508,$A14,Data!$B$2:$B$508,Dashboard!$B$5)),"")</x:f>
        <x:v>93677.82</x:v>
      </x:c>
      <x:c r="F14" s="8" t="n">
        <x:f>IF(AND($A14&gt;=Dashboard!$E$5,$A14&lt;=Dashboard!$H$5,Dashboard!$E$5&lt;=Dashboard!$H$5),IF(Dashboard!$B$5="ALL",SUMIFS(Data!$G$2:$G$508,Data!$A$2:$A$508,$A14),SUMIFS(Data!$G$2:$G$508,Data!$A$2:$A$508,$A14,Data!$B$2:$B$508,Dashboard!$B$5)),"")</x:f>
        <x:v>4150</x:v>
      </x:c>
      <x:c r="G14" s="8" t="n">
        <x:f>IF(AND($A14&gt;=Dashboard!$E$5,$A14&lt;=Dashboard!$H$5,Dashboard!$E$5&lt;=Dashboard!$H$5),IF(Dashboard!$B$5="ALL",SUMIFS(Data!$H$2:$H$508,Data!$A$2:$A$508,$A14),SUMIFS(Data!$H$2:$H$508,Data!$A$2:$A$508,$A14,Data!$B$2:$B$508,Dashboard!$B$5)),"")</x:f>
        <x:v>182</x:v>
      </x:c>
      <x:c r="H14" s="8" t="n">
        <x:f>IF(AND($A14&gt;=Dashboard!$E$5,$A14&lt;=Dashboard!$H$5,Dashboard!$E$5&lt;=Dashboard!$H$5),IF(Dashboard!$B$5="ALL",SUMIFS(Data!$I$2:$I$508,Data!$A$2:$A$508,$A14),SUMIFS(Data!$I$2:$I$508,Data!$A$2:$A$508,$A14,Data!$B$2:$B$508,Dashboard!$B$5)),"")</x:f>
        <x:v>49181.6770949074</x:v>
      </x:c>
      <x:c r="I14" s="8" t="n">
        <x:f>IF(AND($A14&gt;=Dashboard!$E$5,$A14&lt;=Dashboard!$H$5,Dashboard!$E$5&lt;=Dashboard!$H$5),IF(Dashboard!$B$5="ALL",SUMIFS(Data!$J$2:$J$508,Data!$A$2:$A$508,$A14),SUMIFS(Data!$J$2:$J$508,Data!$A$2:$A$508,$A14,Data!$B$2:$B$508,Dashboard!$B$5)),"")</x:f>
        <x:v>4118</x:v>
      </x:c>
      <x:c r="J14" s="8" t="n">
        <x:f>IF(AND($A14&gt;=Dashboard!$E$5,$A14&lt;=Dashboard!$H$5,Dashboard!$E$5&lt;=Dashboard!$H$5),IF(Dashboard!$B$5="ALL",SUMIFS(Data!$K$2:$K$508,Data!$A$2:$A$508,$A14),SUMIFS(Data!$K$2:$K$508,Data!$A$2:$A$508,$A14,Data!$B$2:$B$508,Dashboard!$B$5)),"")</x:f>
        <x:v>423</x:v>
      </x:c>
      <x:c r="K14" s="9" t="n">
        <x:f>IF(OR(C14="",C14=0),"",D14/C14)</x:f>
        <x:v>146.36136626506024</x:v>
      </x:c>
      <x:c r="L14" s="16" t="n">
        <x:f>IF(OR(F14="",F14=0),"",G14/F14)</x:f>
        <x:v>0.04385542168674699</x:v>
      </x:c>
      <x:c r="M14" s="15" t="n">
        <x:f>IF(OR(F14="",F14=0),"",H14/F14)</x:f>
        <x:v>11.851006528893349</x:v>
      </x:c>
      <x:c r="N14" s="16" t="n">
        <x:f>IF(OR(I14="",I14=0),"",J14/I14)</x:f>
        <x:v>0.10271976687712482</x:v>
      </x:c>
      <x:c r="O14" s="16" t="n">
        <x:f>IF(OR(C14="",C14=0),"",I14/C14)</x:f>
        <x:v>0.9922891566265061</x:v>
      </x:c>
      <x:c r="P14" s="16" t="n">
        <x:f>IF(OR(D14="",D13="",D13=0),"",D14/D13-1)</x:f>
        <x:v>0.09500630701621082</x:v>
      </x:c>
      <x:c r="Q14" s="2" t="str">
        <x:v>09/17</x:v>
      </x:c>
    </x:row>
    <x:row r="15" ht="22" customHeight="1">
      <x:c r="A15" s="4" t="d">
        <x:v>2017-10-01T00:00:00.000Z</x:v>
      </x:c>
      <x:c r="B15" s="8" t="n">
        <x:f>IF(AND($A15&gt;=Dashboard!$E$5,$A15&lt;=Dashboard!$H$5,Dashboard!$E$5&lt;=Dashboard!$H$5),IF(Dashboard!$B$5="ALL",SUMIFS(Data!$C$2:$C$508,Data!$A$2:$A$508,$A15),SUMIFS(Data!$C$2:$C$508,Data!$A$2:$A$508,$A15,Data!$B$2:$B$508,Dashboard!$B$5)),"")</x:f>
        <x:v>4631</x:v>
      </x:c>
      <x:c r="C15" s="8" t="n">
        <x:f>IF(AND($A15&gt;=Dashboard!$E$5,$A15&lt;=Dashboard!$H$5,Dashboard!$E$5&lt;=Dashboard!$H$5),IF(Dashboard!$B$5="ALL",SUMIFS(Data!$D$2:$D$508,Data!$A$2:$A$508,$A15),SUMIFS(Data!$D$2:$D$508,Data!$A$2:$A$508,$A15,Data!$B$2:$B$508,Dashboard!$B$5)),"")</x:f>
        <x:v>4478</x:v>
      </x:c>
      <x:c r="D15" s="9" t="n">
        <x:f>IF(AND($A15&gt;=Dashboard!$E$5,$A15&lt;=Dashboard!$H$5,Dashboard!$E$5&lt;=Dashboard!$H$5),IF(Dashboard!$B$5="ALL",SUMIFS(Data!$E$2:$E$508,Data!$A$2:$A$508,$A15),SUMIFS(Data!$E$2:$E$508,Data!$A$2:$A$508,$A15,Data!$B$2:$B$508,Dashboard!$B$5)),"")</x:f>
        <x:v>648247.6499999999</x:v>
      </x:c>
      <x:c r="E15" s="9" t="n">
        <x:f>IF(AND($A15&gt;=Dashboard!$E$5,$A15&lt;=Dashboard!$H$5,Dashboard!$E$5&lt;=Dashboard!$H$5),IF(Dashboard!$B$5="ALL",SUMIFS(Data!$F$2:$F$508,Data!$A$2:$A$508,$A15),SUMIFS(Data!$F$2:$F$508,Data!$A$2:$A$508,$A15,Data!$B$2:$B$508,Dashboard!$B$5)),"")</x:f>
        <x:v>102869.36000000002</x:v>
      </x:c>
      <x:c r="F15" s="8" t="n">
        <x:f>IF(AND($A15&gt;=Dashboard!$E$5,$A15&lt;=Dashboard!$H$5,Dashboard!$E$5&lt;=Dashboard!$H$5),IF(Dashboard!$B$5="ALL",SUMIFS(Data!$G$2:$G$508,Data!$A$2:$A$508,$A15),SUMIFS(Data!$G$2:$G$508,Data!$A$2:$A$508,$A15,Data!$B$2:$B$508,Dashboard!$B$5)),"")</x:f>
        <x:v>4478</x:v>
      </x:c>
      <x:c r="G15" s="8" t="n">
        <x:f>IF(AND($A15&gt;=Dashboard!$E$5,$A15&lt;=Dashboard!$H$5,Dashboard!$E$5&lt;=Dashboard!$H$5),IF(Dashboard!$B$5="ALL",SUMIFS(Data!$H$2:$H$508,Data!$A$2:$A$508,$A15),SUMIFS(Data!$H$2:$H$508,Data!$A$2:$A$508,$A15,Data!$B$2:$B$508,Dashboard!$B$5)),"")</x:f>
        <x:v>187</x:v>
      </x:c>
      <x:c r="H15" s="8" t="n">
        <x:f>IF(AND($A15&gt;=Dashboard!$E$5,$A15&lt;=Dashboard!$H$5,Dashboard!$E$5&lt;=Dashboard!$H$5),IF(Dashboard!$B$5="ALL",SUMIFS(Data!$I$2:$I$508,Data!$A$2:$A$508,$A15),SUMIFS(Data!$I$2:$I$508,Data!$A$2:$A$508,$A15,Data!$B$2:$B$508,Dashboard!$B$5)),"")</x:f>
        <x:v>53094.301250000004</x:v>
      </x:c>
      <x:c r="I15" s="8" t="n">
        <x:f>IF(AND($A15&gt;=Dashboard!$E$5,$A15&lt;=Dashboard!$H$5,Dashboard!$E$5&lt;=Dashboard!$H$5),IF(Dashboard!$B$5="ALL",SUMIFS(Data!$J$2:$J$508,Data!$A$2:$A$508,$A15),SUMIFS(Data!$J$2:$J$508,Data!$A$2:$A$508,$A15,Data!$B$2:$B$508,Dashboard!$B$5)),"")</x:f>
        <x:v>4446</x:v>
      </x:c>
      <x:c r="J15" s="8" t="n">
        <x:f>IF(AND($A15&gt;=Dashboard!$E$5,$A15&lt;=Dashboard!$H$5,Dashboard!$E$5&lt;=Dashboard!$H$5),IF(Dashboard!$B$5="ALL",SUMIFS(Data!$K$2:$K$508,Data!$A$2:$A$508,$A15),SUMIFS(Data!$K$2:$K$508,Data!$A$2:$A$508,$A15,Data!$B$2:$B$508,Dashboard!$B$5)),"")</x:f>
        <x:v>492</x:v>
      </x:c>
      <x:c r="K15" s="9" t="n">
        <x:f>IF(OR(C15="",C15=0),"",D15/C15)</x:f>
        <x:v>144.76276239392584</x:v>
      </x:c>
      <x:c r="L15" s="16" t="n">
        <x:f>IF(OR(F15="",F15=0),"",G15/F15)</x:f>
        <x:v>0.041759714158106295</x:v>
      </x:c>
      <x:c r="M15" s="15" t="n">
        <x:f>IF(OR(F15="",F15=0),"",H15/F15)</x:f>
        <x:v>11.856699698526128</x:v>
      </x:c>
      <x:c r="N15" s="16" t="n">
        <x:f>IF(OR(I15="",I15=0),"",J15/I15)</x:f>
        <x:v>0.1106612685560054</x:v>
      </x:c>
      <x:c r="O15" s="16" t="n">
        <x:f>IF(OR(C15="",C15=0),"",I15/C15)</x:f>
        <x:v>0.9928539526574364</x:v>
      </x:c>
      <x:c r="P15" s="16" t="n">
        <x:f>IF(OR(D15="",D14="",D14=0),"",D15/D14-1)</x:f>
        <x:v>0.06725057983650173</x:v>
      </x:c>
      <x:c r="Q15" s="2" t="str">
        <x:v>10/17</x:v>
      </x:c>
    </x:row>
    <x:row r="16" ht="22" customHeight="1">
      <x:c r="A16" s="4" t="d">
        <x:v>2017-11-01T00:00:00.000Z</x:v>
      </x:c>
      <x:c r="B16" s="8" t="n">
        <x:f>IF(AND($A16&gt;=Dashboard!$E$5,$A16&lt;=Dashboard!$H$5,Dashboard!$E$5&lt;=Dashboard!$H$5),IF(Dashboard!$B$5="ALL",SUMIFS(Data!$C$2:$C$508,Data!$A$2:$A$508,$A16),SUMIFS(Data!$C$2:$C$508,Data!$A$2:$A$508,$A16,Data!$B$2:$B$508,Dashboard!$B$5)),"")</x:f>
        <x:v>7544</x:v>
      </x:c>
      <x:c r="C16" s="8" t="n">
        <x:f>IF(AND($A16&gt;=Dashboard!$E$5,$A16&lt;=Dashboard!$H$5,Dashboard!$E$5&lt;=Dashboard!$H$5),IF(Dashboard!$B$5="ALL",SUMIFS(Data!$D$2:$D$508,Data!$A$2:$A$508,$A16),SUMIFS(Data!$D$2:$D$508,Data!$A$2:$A$508,$A16,Data!$B$2:$B$508,Dashboard!$B$5)),"")</x:f>
        <x:v>7289</x:v>
      </x:c>
      <x:c r="D16" s="9" t="n">
        <x:f>IF(AND($A16&gt;=Dashboard!$E$5,$A16&lt;=Dashboard!$H$5,Dashboard!$E$5&lt;=Dashboard!$H$5),IF(Dashboard!$B$5="ALL",SUMIFS(Data!$E$2:$E$508,Data!$A$2:$A$508,$A16),SUMIFS(Data!$E$2:$E$508,Data!$A$2:$A$508,$A16,Data!$B$2:$B$508,Dashboard!$B$5)),"")</x:f>
        <x:v>987765.3700000003</x:v>
      </x:c>
      <x:c r="E16" s="9" t="n">
        <x:f>IF(AND($A16&gt;=Dashboard!$E$5,$A16&lt;=Dashboard!$H$5,Dashboard!$E$5&lt;=Dashboard!$H$5),IF(Dashboard!$B$5="ALL",SUMIFS(Data!$F$2:$F$508,Data!$A$2:$A$508,$A16),SUMIFS(Data!$F$2:$F$508,Data!$A$2:$A$508,$A16,Data!$B$2:$B$508,Dashboard!$B$5)),"")</x:f>
        <x:v>165598.83000000002</x:v>
      </x:c>
      <x:c r="F16" s="8" t="n">
        <x:f>IF(AND($A16&gt;=Dashboard!$E$5,$A16&lt;=Dashboard!$H$5,Dashboard!$E$5&lt;=Dashboard!$H$5),IF(Dashboard!$B$5="ALL",SUMIFS(Data!$G$2:$G$508,Data!$A$2:$A$508,$A16),SUMIFS(Data!$G$2:$G$508,Data!$A$2:$A$508,$A16,Data!$B$2:$B$508,Dashboard!$B$5)),"")</x:f>
        <x:v>7288</x:v>
      </x:c>
      <x:c r="G16" s="8" t="n">
        <x:f>IF(AND($A16&gt;=Dashboard!$E$5,$A16&lt;=Dashboard!$H$5,Dashboard!$E$5&lt;=Dashboard!$H$5),IF(Dashboard!$B$5="ALL",SUMIFS(Data!$H$2:$H$508,Data!$A$2:$A$508,$A16),SUMIFS(Data!$H$2:$H$508,Data!$A$2:$A$508,$A16,Data!$B$2:$B$508,Dashboard!$B$5)),"")</x:f>
        <x:v>904</x:v>
      </x:c>
      <x:c r="H16" s="8" t="n">
        <x:f>IF(AND($A16&gt;=Dashboard!$E$5,$A16&lt;=Dashboard!$H$5,Dashboard!$E$5&lt;=Dashboard!$H$5),IF(Dashboard!$B$5="ALL",SUMIFS(Data!$I$2:$I$508,Data!$A$2:$A$508,$A16),SUMIFS(Data!$I$2:$I$508,Data!$A$2:$A$508,$A16,Data!$B$2:$B$508,Dashboard!$B$5)),"")</x:f>
        <x:v>110494.32782407392</x:v>
      </x:c>
      <x:c r="I16" s="8" t="n">
        <x:f>IF(AND($A16&gt;=Dashboard!$E$5,$A16&lt;=Dashboard!$H$5,Dashboard!$E$5&lt;=Dashboard!$H$5),IF(Dashboard!$B$5="ALL",SUMIFS(Data!$J$2:$J$508,Data!$A$2:$A$508,$A16),SUMIFS(Data!$J$2:$J$508,Data!$A$2:$A$508,$A16,Data!$B$2:$B$508,Dashboard!$B$5)),"")</x:f>
        <x:v>7238</x:v>
      </x:c>
      <x:c r="J16" s="8" t="n">
        <x:f>IF(AND($A16&gt;=Dashboard!$E$5,$A16&lt;=Dashboard!$H$5,Dashboard!$E$5&lt;=Dashboard!$H$5),IF(Dashboard!$B$5="ALL",SUMIFS(Data!$K$2:$K$508,Data!$A$2:$A$508,$A16),SUMIFS(Data!$K$2:$K$508,Data!$A$2:$A$508,$A16,Data!$B$2:$B$508,Dashboard!$B$5)),"")</x:f>
        <x:v>1199</x:v>
      </x:c>
      <x:c r="K16" s="9" t="n">
        <x:f>IF(OR(C16="",C16=0),"",D16/C16)</x:f>
        <x:v>135.51452462614904</x:v>
      </x:c>
      <x:c r="L16" s="16" t="n">
        <x:f>IF(OR(F16="",F16=0),"",G16/F16)</x:f>
        <x:v>0.12403951701427003</x:v>
      </x:c>
      <x:c r="M16" s="15" t="n">
        <x:f>IF(OR(F16="",F16=0),"",H16/F16)</x:f>
        <x:v>15.161131699241755</x:v>
      </x:c>
      <x:c r="N16" s="16" t="n">
        <x:f>IF(OR(I16="",I16=0),"",J16/I16)</x:f>
        <x:v>0.1656534954407295</x:v>
      </x:c>
      <x:c r="O16" s="16" t="n">
        <x:f>IF(OR(C16="",C16=0),"",I16/C16)</x:f>
        <x:v>0.9930031554397036</x:v>
      </x:c>
      <x:c r="P16" s="16" t="n">
        <x:f>IF(OR(D16="",D15="",D15=0),"",D16/D15-1)</x:f>
        <x:v>0.5237469352954853</x:v>
      </x:c>
      <x:c r="Q16" s="2" t="str">
        <x:v>11/17</x:v>
      </x:c>
    </x:row>
    <x:row r="17" ht="22" customHeight="1">
      <x:c r="A17" s="4" t="d">
        <x:v>2017-12-01T00:00:00.000Z</x:v>
      </x:c>
      <x:c r="B17" s="8" t="n">
        <x:f>IF(AND($A17&gt;=Dashboard!$E$5,$A17&lt;=Dashboard!$H$5,Dashboard!$E$5&lt;=Dashboard!$H$5),IF(Dashboard!$B$5="ALL",SUMIFS(Data!$C$2:$C$508,Data!$A$2:$A$508,$A17),SUMIFS(Data!$C$2:$C$508,Data!$A$2:$A$508,$A17,Data!$B$2:$B$508,Dashboard!$B$5)),"")</x:f>
        <x:v>5673</x:v>
      </x:c>
      <x:c r="C17" s="8" t="n">
        <x:f>IF(AND($A17&gt;=Dashboard!$E$5,$A17&lt;=Dashboard!$H$5,Dashboard!$E$5&lt;=Dashboard!$H$5),IF(Dashboard!$B$5="ALL",SUMIFS(Data!$D$2:$D$508,Data!$A$2:$A$508,$A17),SUMIFS(Data!$D$2:$D$508,Data!$A$2:$A$508,$A17,Data!$B$2:$B$508,Dashboard!$B$5)),"")</x:f>
        <x:v>5513</x:v>
      </x:c>
      <x:c r="D17" s="9" t="n">
        <x:f>IF(AND($A17&gt;=Dashboard!$E$5,$A17&lt;=Dashboard!$H$5,Dashboard!$E$5&lt;=Dashboard!$H$5),IF(Dashboard!$B$5="ALL",SUMIFS(Data!$E$2:$E$508,Data!$A$2:$A$508,$A17),SUMIFS(Data!$E$2:$E$508,Data!$A$2:$A$508,$A17,Data!$B$2:$B$508,Dashboard!$B$5)),"")</x:f>
        <x:v>726033.1900000002</x:v>
      </x:c>
      <x:c r="E17" s="9" t="n">
        <x:f>IF(AND($A17&gt;=Dashboard!$E$5,$A17&lt;=Dashboard!$H$5,Dashboard!$E$5&lt;=Dashboard!$H$5),IF(Dashboard!$B$5="ALL",SUMIFS(Data!$F$2:$F$508,Data!$A$2:$A$508,$A17),SUMIFS(Data!$F$2:$F$508,Data!$A$2:$A$508,$A17,Data!$B$2:$B$508,Dashboard!$B$5)),"")</x:f>
        <x:v>117045.1</x:v>
      </x:c>
      <x:c r="F17" s="8" t="n">
        <x:f>IF(AND($A17&gt;=Dashboard!$E$5,$A17&lt;=Dashboard!$H$5,Dashboard!$E$5&lt;=Dashboard!$H$5),IF(Dashboard!$B$5="ALL",SUMIFS(Data!$G$2:$G$508,Data!$A$2:$A$508,$A17),SUMIFS(Data!$G$2:$G$508,Data!$A$2:$A$508,$A17,Data!$B$2:$B$508,Dashboard!$B$5)),"")</x:f>
        <x:v>5513</x:v>
      </x:c>
      <x:c r="G17" s="8" t="n">
        <x:f>IF(AND($A17&gt;=Dashboard!$E$5,$A17&lt;=Dashboard!$H$5,Dashboard!$E$5&lt;=Dashboard!$H$5),IF(Dashboard!$B$5="ALL",SUMIFS(Data!$H$2:$H$508,Data!$A$2:$A$508,$A17),SUMIFS(Data!$H$2:$H$508,Data!$A$2:$A$508,$A17,Data!$B$2:$B$508,Dashboard!$B$5)),"")</x:f>
        <x:v>411</x:v>
      </x:c>
      <x:c r="H17" s="8" t="n">
        <x:f>IF(AND($A17&gt;=Dashboard!$E$5,$A17&lt;=Dashboard!$H$5,Dashboard!$E$5&lt;=Dashboard!$H$5),IF(Dashboard!$B$5="ALL",SUMIFS(Data!$I$2:$I$508,Data!$A$2:$A$508,$A17),SUMIFS(Data!$I$2:$I$508,Data!$A$2:$A$508,$A17,Data!$B$2:$B$508,Dashboard!$B$5)),"")</x:f>
        <x:v>84872.1858564815</x:v>
      </x:c>
      <x:c r="I17" s="8" t="n">
        <x:f>IF(AND($A17&gt;=Dashboard!$E$5,$A17&lt;=Dashboard!$H$5,Dashboard!$E$5&lt;=Dashboard!$H$5),IF(Dashboard!$B$5="ALL",SUMIFS(Data!$J$2:$J$508,Data!$A$2:$A$508,$A17),SUMIFS(Data!$J$2:$J$508,Data!$A$2:$A$508,$A17,Data!$B$2:$B$508,Dashboard!$B$5)),"")</x:f>
        <x:v>5461</x:v>
      </x:c>
      <x:c r="J17" s="8" t="n">
        <x:f>IF(AND($A17&gt;=Dashboard!$E$5,$A17&lt;=Dashboard!$H$5,Dashboard!$E$5&lt;=Dashboard!$H$5),IF(Dashboard!$B$5="ALL",SUMIFS(Data!$K$2:$K$508,Data!$A$2:$A$508,$A17),SUMIFS(Data!$K$2:$K$508,Data!$A$2:$A$508,$A17,Data!$B$2:$B$508,Dashboard!$B$5)),"")</x:f>
        <x:v>788</x:v>
      </x:c>
      <x:c r="K17" s="9" t="n">
        <x:f>IF(OR(C17="",C17=0),"",D17/C17)</x:f>
        <x:v>131.694756031199</x:v>
      </x:c>
      <x:c r="L17" s="16" t="n">
        <x:f>IF(OR(F17="",F17=0),"",G17/F17)</x:f>
        <x:v>0.07455106112824234</x:v>
      </x:c>
      <x:c r="M17" s="15" t="n">
        <x:f>IF(OR(F17="",F17=0),"",H17/F17)</x:f>
        <x:v>15.394918530107292</x:v>
      </x:c>
      <x:c r="N17" s="16" t="n">
        <x:f>IF(OR(I17="",I17=0),"",J17/I17)</x:f>
        <x:v>0.14429591649880974</x:v>
      </x:c>
      <x:c r="O17" s="16" t="n">
        <x:f>IF(OR(C17="",C17=0),"",I17/C17)</x:f>
        <x:v>0.9905677489570107</x:v>
      </x:c>
      <x:c r="P17" s="16" t="n">
        <x:f>IF(OR(D17="",D16="",D16=0),"",D17/D16-1)</x:f>
        <x:v>-0.2649740393308181</x:v>
      </x:c>
      <x:c r="Q17" s="2" t="str">
        <x:v>12/17</x:v>
      </x:c>
    </x:row>
    <x:row r="18" ht="22" customHeight="1">
      <x:c r="A18" s="4" t="d">
        <x:v>2018-01-01T00:00:00.000Z</x:v>
      </x:c>
      <x:c r="B18" s="8" t="n">
        <x:f>IF(AND($A18&gt;=Dashboard!$E$5,$A18&lt;=Dashboard!$H$5,Dashboard!$E$5&lt;=Dashboard!$H$5),IF(Dashboard!$B$5="ALL",SUMIFS(Data!$C$2:$C$508,Data!$A$2:$A$508,$A18),SUMIFS(Data!$C$2:$C$508,Data!$A$2:$A$508,$A18,Data!$B$2:$B$508,Dashboard!$B$5)),"")</x:f>
        <x:v>7269</x:v>
      </x:c>
      <x:c r="C18" s="8" t="n">
        <x:f>IF(AND($A18&gt;=Dashboard!$E$5,$A18&lt;=Dashboard!$H$5,Dashboard!$E$5&lt;=Dashboard!$H$5),IF(Dashboard!$B$5="ALL",SUMIFS(Data!$D$2:$D$508,Data!$A$2:$A$508,$A18),SUMIFS(Data!$D$2:$D$508,Data!$A$2:$A$508,$A18,Data!$B$2:$B$508,Dashboard!$B$5)),"")</x:f>
        <x:v>7069</x:v>
      </x:c>
      <x:c r="D18" s="9" t="n">
        <x:f>IF(AND($A18&gt;=Dashboard!$E$5,$A18&lt;=Dashboard!$H$5,Dashboard!$E$5&lt;=Dashboard!$H$5),IF(Dashboard!$B$5="ALL",SUMIFS(Data!$E$2:$E$508,Data!$A$2:$A$508,$A18),SUMIFS(Data!$E$2:$E$508,Data!$A$2:$A$508,$A18,Data!$B$2:$B$508,Dashboard!$B$5)),"")</x:f>
        <x:v>924645</x:v>
      </x:c>
      <x:c r="E18" s="9" t="n">
        <x:f>IF(AND($A18&gt;=Dashboard!$E$5,$A18&lt;=Dashboard!$H$5,Dashboard!$E$5&lt;=Dashboard!$H$5),IF(Dashboard!$B$5="ALL",SUMIFS(Data!$F$2:$F$508,Data!$A$2:$A$508,$A18),SUMIFS(Data!$F$2:$F$508,Data!$A$2:$A$508,$A18,Data!$B$2:$B$508,Dashboard!$B$5)),"")</x:f>
        <x:v>153242.46000000002</x:v>
      </x:c>
      <x:c r="F18" s="8" t="n">
        <x:f>IF(AND($A18&gt;=Dashboard!$E$5,$A18&lt;=Dashboard!$H$5,Dashboard!$E$5&lt;=Dashboard!$H$5),IF(Dashboard!$B$5="ALL",SUMIFS(Data!$G$2:$G$508,Data!$A$2:$A$508,$A18),SUMIFS(Data!$G$2:$G$508,Data!$A$2:$A$508,$A18,Data!$B$2:$B$508,Dashboard!$B$5)),"")</x:f>
        <x:v>7069</x:v>
      </x:c>
      <x:c r="G18" s="8" t="n">
        <x:f>IF(AND($A18&gt;=Dashboard!$E$5,$A18&lt;=Dashboard!$H$5,Dashboard!$E$5&lt;=Dashboard!$H$5),IF(Dashboard!$B$5="ALL",SUMIFS(Data!$H$2:$H$508,Data!$A$2:$A$508,$A18),SUMIFS(Data!$H$2:$H$508,Data!$A$2:$A$508,$A18,Data!$B$2:$B$508,Dashboard!$B$5)),"")</x:f>
        <x:v>403</x:v>
      </x:c>
      <x:c r="H18" s="8" t="n">
        <x:f>IF(AND($A18&gt;=Dashboard!$E$5,$A18&lt;=Dashboard!$H$5,Dashboard!$E$5&lt;=Dashboard!$H$5),IF(Dashboard!$B$5="ALL",SUMIFS(Data!$I$2:$I$508,Data!$A$2:$A$508,$A18),SUMIFS(Data!$I$2:$I$508,Data!$A$2:$A$508,$A18,Data!$B$2:$B$508,Dashboard!$B$5)),"")</x:f>
        <x:v>99535.4971180555</x:v>
      </x:c>
      <x:c r="I18" s="8" t="n">
        <x:f>IF(AND($A18&gt;=Dashboard!$E$5,$A18&lt;=Dashboard!$H$5,Dashboard!$E$5&lt;=Dashboard!$H$5),IF(Dashboard!$B$5="ALL",SUMIFS(Data!$J$2:$J$508,Data!$A$2:$A$508,$A18),SUMIFS(Data!$J$2:$J$508,Data!$A$2:$A$508,$A18,Data!$B$2:$B$508,Dashboard!$B$5)),"")</x:f>
        <x:v>7013</x:v>
      </x:c>
      <x:c r="J18" s="8" t="n">
        <x:f>IF(AND($A18&gt;=Dashboard!$E$5,$A18&lt;=Dashboard!$H$5,Dashboard!$E$5&lt;=Dashboard!$H$5),IF(Dashboard!$B$5="ALL",SUMIFS(Data!$K$2:$K$508,Data!$A$2:$A$508,$A18),SUMIFS(Data!$K$2:$K$508,Data!$A$2:$A$508,$A18,Data!$B$2:$B$508,Dashboard!$B$5)),"")</x:f>
        <x:v>961</x:v>
      </x:c>
      <x:c r="K18" s="9" t="n">
        <x:f>IF(OR(C18="",C18=0),"",D18/C18)</x:f>
        <x:v>130.80280096194653</x:v>
      </x:c>
      <x:c r="L18" s="16" t="n">
        <x:f>IF(OR(F18="",F18=0),"",G18/F18)</x:f>
        <x:v>0.05700947800254633</x:v>
      </x:c>
      <x:c r="M18" s="15" t="n">
        <x:f>IF(OR(F18="",F18=0),"",H18/F18)</x:f>
        <x:v>14.080562613956076</x:v>
      </x:c>
      <x:c r="N18" s="16" t="n">
        <x:f>IF(OR(I18="",I18=0),"",J18/I18)</x:f>
        <x:v>0.13703122771994866</x:v>
      </x:c>
      <x:c r="O18" s="16" t="n">
        <x:f>IF(OR(C18="",C18=0),"",I18/C18)</x:f>
        <x:v>0.9920780874239638</x:v>
      </x:c>
      <x:c r="P18" s="16" t="n">
        <x:f>IF(OR(D18="",D17="",D17=0),"",D18/D17-1)</x:f>
        <x:v>0.2735574802027987</x:v>
      </x:c>
      <x:c r="Q18" s="2" t="str">
        <x:v>01/18</x:v>
      </x:c>
    </x:row>
    <x:row r="19" ht="22" customHeight="1">
      <x:c r="A19" s="4" t="d">
        <x:v>2018-02-01T00:00:00.000Z</x:v>
      </x:c>
      <x:c r="B19" s="8" t="n">
        <x:f>IF(AND($A19&gt;=Dashboard!$E$5,$A19&lt;=Dashboard!$H$5,Dashboard!$E$5&lt;=Dashboard!$H$5),IF(Dashboard!$B$5="ALL",SUMIFS(Data!$C$2:$C$508,Data!$A$2:$A$508,$A19),SUMIFS(Data!$C$2:$C$508,Data!$A$2:$A$508,$A19,Data!$B$2:$B$508,Dashboard!$B$5)),"")</x:f>
        <x:v>6728</x:v>
      </x:c>
      <x:c r="C19" s="8" t="n">
        <x:f>IF(AND($A19&gt;=Dashboard!$E$5,$A19&lt;=Dashboard!$H$5,Dashboard!$E$5&lt;=Dashboard!$H$5),IF(Dashboard!$B$5="ALL",SUMIFS(Data!$D$2:$D$508,Data!$A$2:$A$508,$A19),SUMIFS(Data!$D$2:$D$508,Data!$A$2:$A$508,$A19,Data!$B$2:$B$508,Dashboard!$B$5)),"")</x:f>
        <x:v>6555</x:v>
      </x:c>
      <x:c r="D19" s="9" t="n">
        <x:f>IF(AND($A19&gt;=Dashboard!$E$5,$A19&lt;=Dashboard!$H$5,Dashboard!$E$5&lt;=Dashboard!$H$5),IF(Dashboard!$B$5="ALL",SUMIFS(Data!$E$2:$E$508,Data!$A$2:$A$508,$A19),SUMIFS(Data!$E$2:$E$508,Data!$A$2:$A$508,$A19,Data!$B$2:$B$508,Dashboard!$B$5)),"")</x:f>
        <x:v>826437.13</x:v>
      </x:c>
      <x:c r="E19" s="9" t="n">
        <x:f>IF(AND($A19&gt;=Dashboard!$E$5,$A19&lt;=Dashboard!$H$5,Dashboard!$E$5&lt;=Dashboard!$H$5),IF(Dashboard!$B$5="ALL",SUMIFS(Data!$F$2:$F$508,Data!$A$2:$A$508,$A19),SUMIFS(Data!$F$2:$F$508,Data!$A$2:$A$508,$A19,Data!$B$2:$B$508,Dashboard!$B$5)),"")</x:f>
        <x:v>139731.28</x:v>
      </x:c>
      <x:c r="F19" s="8" t="n">
        <x:f>IF(AND($A19&gt;=Dashboard!$E$5,$A19&lt;=Dashboard!$H$5,Dashboard!$E$5&lt;=Dashboard!$H$5),IF(Dashboard!$B$5="ALL",SUMIFS(Data!$G$2:$G$508,Data!$A$2:$A$508,$A19),SUMIFS(Data!$G$2:$G$508,Data!$A$2:$A$508,$A19,Data!$B$2:$B$508,Dashboard!$B$5)),"")</x:f>
        <x:v>6555</x:v>
      </x:c>
      <x:c r="G19" s="8" t="n">
        <x:f>IF(AND($A19&gt;=Dashboard!$E$5,$A19&lt;=Dashboard!$H$5,Dashboard!$E$5&lt;=Dashboard!$H$5),IF(Dashboard!$B$5="ALL",SUMIFS(Data!$H$2:$H$508,Data!$A$2:$A$508,$A19),SUMIFS(Data!$H$2:$H$508,Data!$A$2:$A$508,$A19,Data!$B$2:$B$508,Dashboard!$B$5)),"")</x:f>
        <x:v>926</x:v>
      </x:c>
      <x:c r="H19" s="8" t="n">
        <x:f>IF(AND($A19&gt;=Dashboard!$E$5,$A19&lt;=Dashboard!$H$5,Dashboard!$E$5&lt;=Dashboard!$H$5),IF(Dashboard!$B$5="ALL",SUMIFS(Data!$I$2:$I$508,Data!$A$2:$A$508,$A19),SUMIFS(Data!$I$2:$I$508,Data!$A$2:$A$508,$A19,Data!$B$2:$B$508,Dashboard!$B$5)),"")</x:f>
        <x:v>111075.37675925919</x:v>
      </x:c>
      <x:c r="I19" s="8" t="n">
        <x:f>IF(AND($A19&gt;=Dashboard!$E$5,$A19&lt;=Dashboard!$H$5,Dashboard!$E$5&lt;=Dashboard!$H$5),IF(Dashboard!$B$5="ALL",SUMIFS(Data!$J$2:$J$508,Data!$A$2:$A$508,$A19),SUMIFS(Data!$J$2:$J$508,Data!$A$2:$A$508,$A19,Data!$B$2:$B$508,Dashboard!$B$5)),"")</x:f>
        <x:v>6507</x:v>
      </x:c>
      <x:c r="J19" s="8" t="n">
        <x:f>IF(AND($A19&gt;=Dashboard!$E$5,$A19&lt;=Dashboard!$H$5,Dashboard!$E$5&lt;=Dashboard!$H$5),IF(Dashboard!$B$5="ALL",SUMIFS(Data!$K$2:$K$508,Data!$A$2:$A$508,$A19),SUMIFS(Data!$K$2:$K$508,Data!$A$2:$A$508,$A19,Data!$B$2:$B$508,Dashboard!$B$5)),"")</x:f>
        <x:v>1261</x:v>
      </x:c>
      <x:c r="K19" s="9" t="n">
        <x:f>IF(OR(C19="",C19=0),"",D19/C19)</x:f>
        <x:v>126.0773653699466</x:v>
      </x:c>
      <x:c r="L19" s="16" t="n">
        <x:f>IF(OR(F19="",F19=0),"",G19/F19)</x:f>
        <x:v>0.14126620900076278</x:v>
      </x:c>
      <x:c r="M19" s="15" t="n">
        <x:f>IF(OR(F19="",F19=0),"",H19/F19)</x:f>
        <x:v>16.945137568155484</x:v>
      </x:c>
      <x:c r="N19" s="16" t="n">
        <x:f>IF(OR(I19="",I19=0),"",J19/I19)</x:f>
        <x:v>0.1937913016751191</x:v>
      </x:c>
      <x:c r="O19" s="16" t="n">
        <x:f>IF(OR(C19="",C19=0),"",I19/C19)</x:f>
        <x:v>0.9926773455377574</x:v>
      </x:c>
      <x:c r="P19" s="16" t="n">
        <x:f>IF(OR(D19="",D18="",D18=0),"",D19/D18-1)</x:f>
        <x:v>-0.10621143249571452</x:v>
      </x:c>
      <x:c r="Q19" s="2" t="str">
        <x:v>02/18</x:v>
      </x:c>
    </x:row>
    <x:row r="20" ht="22" customHeight="1">
      <x:c r="A20" s="4" t="d">
        <x:v>2018-03-01T00:00:00.000Z</x:v>
      </x:c>
      <x:c r="B20" s="8" t="n">
        <x:f>IF(AND($A20&gt;=Dashboard!$E$5,$A20&lt;=Dashboard!$H$5,Dashboard!$E$5&lt;=Dashboard!$H$5),IF(Dashboard!$B$5="ALL",SUMIFS(Data!$C$2:$C$508,Data!$A$2:$A$508,$A20),SUMIFS(Data!$C$2:$C$508,Data!$A$2:$A$508,$A20,Data!$B$2:$B$508,Dashboard!$B$5)),"")</x:f>
        <x:v>7211</x:v>
      </x:c>
      <x:c r="C20" s="8" t="n">
        <x:f>IF(AND($A20&gt;=Dashboard!$E$5,$A20&lt;=Dashboard!$H$5,Dashboard!$E$5&lt;=Dashboard!$H$5),IF(Dashboard!$B$5="ALL",SUMIFS(Data!$D$2:$D$508,Data!$A$2:$A$508,$A20),SUMIFS(Data!$D$2:$D$508,Data!$A$2:$A$508,$A20,Data!$B$2:$B$508,Dashboard!$B$5)),"")</x:f>
        <x:v>7003</x:v>
      </x:c>
      <x:c r="D20" s="9" t="n">
        <x:f>IF(AND($A20&gt;=Dashboard!$E$5,$A20&lt;=Dashboard!$H$5,Dashboard!$E$5&lt;=Dashboard!$H$5),IF(Dashboard!$B$5="ALL",SUMIFS(Data!$E$2:$E$508,Data!$A$2:$A$508,$A20),SUMIFS(Data!$E$2:$E$508,Data!$A$2:$A$508,$A20,Data!$B$2:$B$508,Dashboard!$B$5)),"")</x:f>
        <x:v>953356.25</x:v>
      </x:c>
      <x:c r="E20" s="9" t="n">
        <x:f>IF(AND($A20&gt;=Dashboard!$E$5,$A20&lt;=Dashboard!$H$5,Dashboard!$E$5&lt;=Dashboard!$H$5),IF(Dashboard!$B$5="ALL",SUMIFS(Data!$F$2:$F$508,Data!$A$2:$A$508,$A20),SUMIFS(Data!$F$2:$F$508,Data!$A$2:$A$508,$A20,Data!$B$2:$B$508,Dashboard!$B$5)),"")</x:f>
        <x:v>167241.99000000002</x:v>
      </x:c>
      <x:c r="F20" s="8" t="n">
        <x:f>IF(AND($A20&gt;=Dashboard!$E$5,$A20&lt;=Dashboard!$H$5,Dashboard!$E$5&lt;=Dashboard!$H$5),IF(Dashboard!$B$5="ALL",SUMIFS(Data!$G$2:$G$508,Data!$A$2:$A$508,$A20),SUMIFS(Data!$G$2:$G$508,Data!$A$2:$A$508,$A20,Data!$B$2:$B$508,Dashboard!$B$5)),"")</x:f>
        <x:v>7003</x:v>
      </x:c>
      <x:c r="G20" s="8" t="n">
        <x:f>IF(AND($A20&gt;=Dashboard!$E$5,$A20&lt;=Dashboard!$H$5,Dashboard!$E$5&lt;=Dashboard!$H$5),IF(Dashboard!$B$5="ALL",SUMIFS(Data!$H$2:$H$508,Data!$A$2:$A$508,$A20),SUMIFS(Data!$H$2:$H$508,Data!$A$2:$A$508,$A20,Data!$B$2:$B$508,Dashboard!$B$5)),"")</x:f>
        <x:v>1328</x:v>
      </x:c>
      <x:c r="H20" s="8" t="n">
        <x:f>IF(AND($A20&gt;=Dashboard!$E$5,$A20&lt;=Dashboard!$H$5,Dashboard!$E$5&lt;=Dashboard!$H$5),IF(Dashboard!$B$5="ALL",SUMIFS(Data!$I$2:$I$508,Data!$A$2:$A$508,$A20),SUMIFS(Data!$I$2:$I$508,Data!$A$2:$A$508,$A20,Data!$B$2:$B$508,Dashboard!$B$5)),"")</x:f>
        <x:v>114158.77545138892</x:v>
      </x:c>
      <x:c r="I20" s="8" t="n">
        <x:f>IF(AND($A20&gt;=Dashboard!$E$5,$A20&lt;=Dashboard!$H$5,Dashboard!$E$5&lt;=Dashboard!$H$5),IF(Dashboard!$B$5="ALL",SUMIFS(Data!$J$2:$J$508,Data!$A$2:$A$508,$A20),SUMIFS(Data!$J$2:$J$508,Data!$A$2:$A$508,$A20,Data!$B$2:$B$508,Dashboard!$B$5)),"")</x:f>
        <x:v>6948</x:v>
      </x:c>
      <x:c r="J20" s="8" t="n">
        <x:f>IF(AND($A20&gt;=Dashboard!$E$5,$A20&lt;=Dashboard!$H$5,Dashboard!$E$5&lt;=Dashboard!$H$5),IF(Dashboard!$B$5="ALL",SUMIFS(Data!$K$2:$K$508,Data!$A$2:$A$508,$A20),SUMIFS(Data!$K$2:$K$508,Data!$A$2:$A$508,$A20,Data!$B$2:$B$508,Dashboard!$B$5)),"")</x:f>
        <x:v>1471</x:v>
      </x:c>
      <x:c r="K20" s="9" t="n">
        <x:f>IF(OR(C20="",C20=0),"",D20/C20)</x:f>
        <x:v>136.13540625446237</x:v>
      </x:c>
      <x:c r="L20" s="16" t="n">
        <x:f>IF(OR(F20="",F20=0),"",G20/F20)</x:f>
        <x:v>0.18963301442239042</x:v>
      </x:c>
      <x:c r="M20" s="15" t="n">
        <x:f>IF(OR(F20="",F20=0),"",H20/F20)</x:f>
        <x:v>16.301410174409384</x:v>
      </x:c>
      <x:c r="N20" s="16" t="n">
        <x:f>IF(OR(I20="",I20=0),"",J20/I20)</x:f>
        <x:v>0.21171560161197467</x:v>
      </x:c>
      <x:c r="O20" s="16" t="n">
        <x:f>IF(OR(C20="",C20=0),"",I20/C20)</x:f>
        <x:v>0.9921462230472654</x:v>
      </x:c>
      <x:c r="P20" s="16" t="n">
        <x:f>IF(OR(D20="",D19="",D19=0),"",D20/D19-1)</x:f>
        <x:v>0.15357383567701022</x:v>
      </x:c>
      <x:c r="Q20" s="2" t="str">
        <x:v>03/18</x:v>
      </x:c>
    </x:row>
    <x:row r="21" ht="22" customHeight="1">
      <x:c r="A21" s="4" t="d">
        <x:v>2018-04-01T00:00:00.000Z</x:v>
      </x:c>
      <x:c r="B21" s="8" t="n">
        <x:f>IF(AND($A21&gt;=Dashboard!$E$5,$A21&lt;=Dashboard!$H$5,Dashboard!$E$5&lt;=Dashboard!$H$5),IF(Dashboard!$B$5="ALL",SUMIFS(Data!$C$2:$C$508,Data!$A$2:$A$508,$A21),SUMIFS(Data!$C$2:$C$508,Data!$A$2:$A$508,$A21,Data!$B$2:$B$508,Dashboard!$B$5)),"")</x:f>
        <x:v>6939</x:v>
      </x:c>
      <x:c r="C21" s="8" t="n">
        <x:f>IF(AND($A21&gt;=Dashboard!$E$5,$A21&lt;=Dashboard!$H$5,Dashboard!$E$5&lt;=Dashboard!$H$5),IF(Dashboard!$B$5="ALL",SUMIFS(Data!$D$2:$D$508,Data!$A$2:$A$508,$A21),SUMIFS(Data!$D$2:$D$508,Data!$A$2:$A$508,$A21,Data!$B$2:$B$508,Dashboard!$B$5)),"")</x:f>
        <x:v>6798</x:v>
      </x:c>
      <x:c r="D21" s="9" t="n">
        <x:f>IF(AND($A21&gt;=Dashboard!$E$5,$A21&lt;=Dashboard!$H$5,Dashboard!$E$5&lt;=Dashboard!$H$5),IF(Dashboard!$B$5="ALL",SUMIFS(Data!$E$2:$E$508,Data!$A$2:$A$508,$A21),SUMIFS(Data!$E$2:$E$508,Data!$A$2:$A$508,$A21,Data!$B$2:$B$508,Dashboard!$B$5)),"")</x:f>
        <x:v>973534.09</x:v>
      </x:c>
      <x:c r="E21" s="9" t="n">
        <x:f>IF(AND($A21&gt;=Dashboard!$E$5,$A21&lt;=Dashboard!$H$5,Dashboard!$E$5&lt;=Dashboard!$H$5),IF(Dashboard!$B$5="ALL",SUMIFS(Data!$F$2:$F$508,Data!$A$2:$A$508,$A21),SUMIFS(Data!$F$2:$F$508,Data!$A$2:$A$508,$A21,Data!$B$2:$B$508,Dashboard!$B$5)),"")</x:f>
        <x:v>159344.84</x:v>
      </x:c>
      <x:c r="F21" s="8" t="n">
        <x:f>IF(AND($A21&gt;=Dashboard!$E$5,$A21&lt;=Dashboard!$H$5,Dashboard!$E$5&lt;=Dashboard!$H$5),IF(Dashboard!$B$5="ALL",SUMIFS(Data!$G$2:$G$508,Data!$A$2:$A$508,$A21),SUMIFS(Data!$G$2:$G$508,Data!$A$2:$A$508,$A21,Data!$B$2:$B$508,Dashboard!$B$5)),"")</x:f>
        <x:v>6798</x:v>
      </x:c>
      <x:c r="G21" s="8" t="n">
        <x:f>IF(AND($A21&gt;=Dashboard!$E$5,$A21&lt;=Dashboard!$H$5,Dashboard!$E$5&lt;=Dashboard!$H$5),IF(Dashboard!$B$5="ALL",SUMIFS(Data!$H$2:$H$508,Data!$A$2:$A$508,$A21),SUMIFS(Data!$H$2:$H$508,Data!$A$2:$A$508,$A21,Data!$B$2:$B$508,Dashboard!$B$5)),"")</x:f>
        <x:v>306</x:v>
      </x:c>
      <x:c r="H21" s="8" t="n">
        <x:f>IF(AND($A21&gt;=Dashboard!$E$5,$A21&lt;=Dashboard!$H$5,Dashboard!$E$5&lt;=Dashboard!$H$5),IF(Dashboard!$B$5="ALL",SUMIFS(Data!$I$2:$I$508,Data!$A$2:$A$508,$A21),SUMIFS(Data!$I$2:$I$508,Data!$A$2:$A$508,$A21,Data!$B$2:$B$508,Dashboard!$B$5)),"")</x:f>
        <x:v>78171.8406828704</x:v>
      </x:c>
      <x:c r="I21" s="8" t="n">
        <x:f>IF(AND($A21&gt;=Dashboard!$E$5,$A21&lt;=Dashboard!$H$5,Dashboard!$E$5&lt;=Dashboard!$H$5),IF(Dashboard!$B$5="ALL",SUMIFS(Data!$J$2:$J$508,Data!$A$2:$A$508,$A21),SUMIFS(Data!$J$2:$J$508,Data!$A$2:$A$508,$A21,Data!$B$2:$B$508,Dashboard!$B$5)),"")</x:f>
        <x:v>6752</x:v>
      </x:c>
      <x:c r="J21" s="8" t="n">
        <x:f>IF(AND($A21&gt;=Dashboard!$E$5,$A21&lt;=Dashboard!$H$5,Dashboard!$E$5&lt;=Dashboard!$H$5),IF(Dashboard!$B$5="ALL",SUMIFS(Data!$K$2:$K$508,Data!$A$2:$A$508,$A21),SUMIFS(Data!$K$2:$K$508,Data!$A$2:$A$508,$A21,Data!$B$2:$B$508,Dashboard!$B$5)),"")</x:f>
        <x:v>796</x:v>
      </x:c>
      <x:c r="K21" s="9" t="n">
        <x:f>IF(OR(C21="",C21=0),"",D21/C21)</x:f>
        <x:v>143.2088982053545</x:v>
      </x:c>
      <x:c r="L21" s="16" t="n">
        <x:f>IF(OR(F21="",F21=0),"",G21/F21)</x:f>
        <x:v>0.04501323918799647</x:v>
      </x:c>
      <x:c r="M21" s="15" t="n">
        <x:f>IF(OR(F21="",F21=0),"",H21/F21)</x:f>
        <x:v>11.499241053673199</x:v>
      </x:c>
      <x:c r="N21" s="16" t="n">
        <x:f>IF(OR(I21="",I21=0),"",J21/I21)</x:f>
        <x:v>0.1178909952606635</x:v>
      </x:c>
      <x:c r="O21" s="16" t="n">
        <x:f>IF(OR(C21="",C21=0),"",I21/C21)</x:f>
        <x:v>0.9932333039129155</x:v>
      </x:c>
      <x:c r="P21" s="16" t="n">
        <x:f>IF(OR(D21="",D20="",D20=0),"",D21/D20-1)</x:f>
        <x:v>0.021165057658141917</x:v>
      </x:c>
      <x:c r="Q21" s="2" t="str">
        <x:v>04/18</x:v>
      </x:c>
    </x:row>
    <x:row r="22" ht="22" customHeight="1">
      <x:c r="A22" s="4" t="d">
        <x:v>2018-05-01T00:00:00.000Z</x:v>
      </x:c>
      <x:c r="B22" s="8" t="n">
        <x:f>IF(AND($A22&gt;=Dashboard!$E$5,$A22&lt;=Dashboard!$H$5,Dashboard!$E$5&lt;=Dashboard!$H$5),IF(Dashboard!$B$5="ALL",SUMIFS(Data!$C$2:$C$508,Data!$A$2:$A$508,$A22),SUMIFS(Data!$C$2:$C$508,Data!$A$2:$A$508,$A22,Data!$B$2:$B$508,Dashboard!$B$5)),"")</x:f>
        <x:v>6873</x:v>
      </x:c>
      <x:c r="C22" s="8" t="n">
        <x:f>IF(AND($A22&gt;=Dashboard!$E$5,$A22&lt;=Dashboard!$H$5,Dashboard!$E$5&lt;=Dashboard!$H$5),IF(Dashboard!$B$5="ALL",SUMIFS(Data!$D$2:$D$508,Data!$A$2:$A$508,$A22),SUMIFS(Data!$D$2:$D$508,Data!$A$2:$A$508,$A22,Data!$B$2:$B$508,Dashboard!$B$5)),"")</x:f>
        <x:v>6749</x:v>
      </x:c>
      <x:c r="D22" s="9" t="n">
        <x:f>IF(AND($A22&gt;=Dashboard!$E$5,$A22&lt;=Dashboard!$H$5,Dashboard!$E$5&lt;=Dashboard!$H$5),IF(Dashboard!$B$5="ALL",SUMIFS(Data!$E$2:$E$508,Data!$A$2:$A$508,$A22),SUMIFS(Data!$E$2:$E$508,Data!$A$2:$A$508,$A22,Data!$B$2:$B$508,Dashboard!$B$5)),"")</x:f>
        <x:v>977544.6900000002</x:v>
      </x:c>
      <x:c r="E22" s="9" t="n">
        <x:f>IF(AND($A22&gt;=Dashboard!$E$5,$A22&lt;=Dashboard!$H$5,Dashboard!$E$5&lt;=Dashboard!$H$5),IF(Dashboard!$B$5="ALL",SUMIFS(Data!$F$2:$F$508,Data!$A$2:$A$508,$A22),SUMIFS(Data!$F$2:$F$508,Data!$A$2:$A$508,$A22,Data!$B$2:$B$508,Dashboard!$B$5)),"")</x:f>
        <x:v>151229.83</x:v>
      </x:c>
      <x:c r="F22" s="8" t="n">
        <x:f>IF(AND($A22&gt;=Dashboard!$E$5,$A22&lt;=Dashboard!$H$5,Dashboard!$E$5&lt;=Dashboard!$H$5),IF(Dashboard!$B$5="ALL",SUMIFS(Data!$G$2:$G$508,Data!$A$2:$A$508,$A22),SUMIFS(Data!$G$2:$G$508,Data!$A$2:$A$508,$A22,Data!$B$2:$B$508,Dashboard!$B$5)),"")</x:f>
        <x:v>6749</x:v>
      </x:c>
      <x:c r="G22" s="8" t="n">
        <x:f>IF(AND($A22&gt;=Dashboard!$E$5,$A22&lt;=Dashboard!$H$5,Dashboard!$E$5&lt;=Dashboard!$H$5),IF(Dashboard!$B$5="ALL",SUMIFS(Data!$H$2:$H$508,Data!$A$2:$A$508,$A22),SUMIFS(Data!$H$2:$H$508,Data!$A$2:$A$508,$A22,Data!$B$2:$B$508,Dashboard!$B$5)),"")</x:f>
        <x:v>443</x:v>
      </x:c>
      <x:c r="H22" s="8" t="n">
        <x:f>IF(AND($A22&gt;=Dashboard!$E$5,$A22&lt;=Dashboard!$H$5,Dashboard!$E$5&lt;=Dashboard!$H$5),IF(Dashboard!$B$5="ALL",SUMIFS(Data!$I$2:$I$508,Data!$A$2:$A$508,$A22),SUMIFS(Data!$I$2:$I$508,Data!$A$2:$A$508,$A22,Data!$B$2:$B$508,Dashboard!$B$5)),"")</x:f>
        <x:v>77067.02628472191</x:v>
      </x:c>
      <x:c r="I22" s="8" t="n">
        <x:f>IF(AND($A22&gt;=Dashboard!$E$5,$A22&lt;=Dashboard!$H$5,Dashboard!$E$5&lt;=Dashboard!$H$5),IF(Dashboard!$B$5="ALL",SUMIFS(Data!$J$2:$J$508,Data!$A$2:$A$508,$A22),SUMIFS(Data!$J$2:$J$508,Data!$A$2:$A$508,$A22,Data!$B$2:$B$508,Dashboard!$B$5)),"")</x:f>
        <x:v>6722</x:v>
      </x:c>
      <x:c r="J22" s="8" t="n">
        <x:f>IF(AND($A22&gt;=Dashboard!$E$5,$A22&lt;=Dashboard!$H$5,Dashboard!$E$5&lt;=Dashboard!$H$5),IF(Dashboard!$B$5="ALL",SUMIFS(Data!$K$2:$K$508,Data!$A$2:$A$508,$A22),SUMIFS(Data!$K$2:$K$508,Data!$A$2:$A$508,$A22,Data!$B$2:$B$508,Dashboard!$B$5)),"")</x:f>
        <x:v>723</x:v>
      </x:c>
      <x:c r="K22" s="9" t="n">
        <x:f>IF(OR(C22="",C22=0),"",D22/C22)</x:f>
        <x:v>144.84289376203884</x:v>
      </x:c>
      <x:c r="L22" s="16" t="n">
        <x:f>IF(OR(F22="",F22=0),"",G22/F22)</x:f>
        <x:v>0.06563935397836716</x:v>
      </x:c>
      <x:c r="M22" s="15" t="n">
        <x:f>IF(OR(F22="",F22=0),"",H22/F22)</x:f>
        <x:v>11.419028935356632</x:v>
      </x:c>
      <x:c r="N22" s="16" t="n">
        <x:f>IF(OR(I22="",I22=0),"",J22/I22)</x:f>
        <x:v>0.10755727462064861</x:v>
      </x:c>
      <x:c r="O22" s="16" t="n">
        <x:f>IF(OR(C22="",C22=0),"",I22/C22)</x:f>
        <x:v>0.9959994073196029</x:v>
      </x:c>
      <x:c r="P22" s="16" t="n">
        <x:f>IF(OR(D22="",D21="",D21=0),"",D22/D21-1)</x:f>
        <x:v>0.004119629750202414</x:v>
      </x:c>
      <x:c r="Q22" s="2" t="str">
        <x:v>05/18</x:v>
      </x:c>
    </x:row>
    <x:row r="23" ht="22" customHeight="1">
      <x:c r="A23" s="4" t="d">
        <x:v>2018-06-01T00:00:00.000Z</x:v>
      </x:c>
      <x:c r="B23" s="8" t="n">
        <x:f>IF(AND($A23&gt;=Dashboard!$E$5,$A23&lt;=Dashboard!$H$5,Dashboard!$E$5&lt;=Dashboard!$H$5),IF(Dashboard!$B$5="ALL",SUMIFS(Data!$C$2:$C$508,Data!$A$2:$A$508,$A23),SUMIFS(Data!$C$2:$C$508,Data!$A$2:$A$508,$A23,Data!$B$2:$B$508,Dashboard!$B$5)),"")</x:f>
        <x:v>6167</x:v>
      </x:c>
      <x:c r="C23" s="8" t="n">
        <x:f>IF(AND($A23&gt;=Dashboard!$E$5,$A23&lt;=Dashboard!$H$5,Dashboard!$E$5&lt;=Dashboard!$H$5),IF(Dashboard!$B$5="ALL",SUMIFS(Data!$D$2:$D$508,Data!$A$2:$A$508,$A23),SUMIFS(Data!$D$2:$D$508,Data!$A$2:$A$508,$A23,Data!$B$2:$B$508,Dashboard!$B$5)),"")</x:f>
        <x:v>6099</x:v>
      </x:c>
      <x:c r="D23" s="9" t="n">
        <x:f>IF(AND($A23&gt;=Dashboard!$E$5,$A23&lt;=Dashboard!$H$5,Dashboard!$E$5&lt;=Dashboard!$H$5),IF(Dashboard!$B$5="ALL",SUMIFS(Data!$E$2:$E$508,Data!$A$2:$A$508,$A23),SUMIFS(Data!$E$2:$E$508,Data!$A$2:$A$508,$A23,Data!$B$2:$B$508,Dashboard!$B$5)),"")</x:f>
        <x:v>856077.86</x:v>
      </x:c>
      <x:c r="E23" s="9" t="n">
        <x:f>IF(AND($A23&gt;=Dashboard!$E$5,$A23&lt;=Dashboard!$H$5,Dashboard!$E$5&lt;=Dashboard!$H$5),IF(Dashboard!$B$5="ALL",SUMIFS(Data!$F$2:$F$508,Data!$A$2:$A$508,$A23),SUMIFS(Data!$F$2:$F$508,Data!$A$2:$A$508,$A23,Data!$B$2:$B$508,Dashboard!$B$5)),"")</x:f>
        <x:v>155900.43</x:v>
      </x:c>
      <x:c r="F23" s="8" t="n">
        <x:f>IF(AND($A23&gt;=Dashboard!$E$5,$A23&lt;=Dashboard!$H$5,Dashboard!$E$5&lt;=Dashboard!$H$5),IF(Dashboard!$B$5="ALL",SUMIFS(Data!$G$2:$G$508,Data!$A$2:$A$508,$A23),SUMIFS(Data!$G$2:$G$508,Data!$A$2:$A$508,$A23,Data!$B$2:$B$508,Dashboard!$B$5)),"")</x:f>
        <x:v>6096</x:v>
      </x:c>
      <x:c r="G23" s="8" t="n">
        <x:f>IF(AND($A23&gt;=Dashboard!$E$5,$A23&lt;=Dashboard!$H$5,Dashboard!$E$5&lt;=Dashboard!$H$5),IF(Dashboard!$B$5="ALL",SUMIFS(Data!$H$2:$H$508,Data!$A$2:$A$508,$A23),SUMIFS(Data!$H$2:$H$508,Data!$A$2:$A$508,$A23,Data!$B$2:$B$508,Dashboard!$B$5)),"")</x:f>
        <x:v>71</x:v>
      </x:c>
      <x:c r="H23" s="8" t="n">
        <x:f>IF(AND($A23&gt;=Dashboard!$E$5,$A23&lt;=Dashboard!$H$5,Dashboard!$E$5&lt;=Dashboard!$H$5),IF(Dashboard!$B$5="ALL",SUMIFS(Data!$I$2:$I$508,Data!$A$2:$A$508,$A23),SUMIFS(Data!$I$2:$I$508,Data!$A$2:$A$508,$A23,Data!$B$2:$B$508,Dashboard!$B$5)),"")</x:f>
        <x:v>56322.262523148</x:v>
      </x:c>
      <x:c r="I23" s="8" t="n">
        <x:f>IF(AND($A23&gt;=Dashboard!$E$5,$A23&lt;=Dashboard!$H$5,Dashboard!$E$5&lt;=Dashboard!$H$5),IF(Dashboard!$B$5="ALL",SUMIFS(Data!$J$2:$J$508,Data!$A$2:$A$508,$A23),SUMIFS(Data!$J$2:$J$508,Data!$A$2:$A$508,$A23,Data!$B$2:$B$508,Dashboard!$B$5)),"")</x:f>
        <x:v>6075</x:v>
      </x:c>
      <x:c r="J23" s="8" t="n">
        <x:f>IF(AND($A23&gt;=Dashboard!$E$5,$A23&lt;=Dashboard!$H$5,Dashboard!$E$5&lt;=Dashboard!$H$5),IF(Dashboard!$B$5="ALL",SUMIFS(Data!$K$2:$K$508,Data!$A$2:$A$508,$A23),SUMIFS(Data!$K$2:$K$508,Data!$A$2:$A$508,$A23,Data!$B$2:$B$508,Dashboard!$B$5)),"")</x:f>
        <x:v>607</x:v>
      </x:c>
      <x:c r="K23" s="9" t="n">
        <x:f>IF(OR(C23="",C23=0),"",D23/C23)</x:f>
        <x:v>140.36364322020003</x:v>
      </x:c>
      <x:c r="L23" s="16" t="n">
        <x:f>IF(OR(F23="",F23=0),"",G23/F23)</x:f>
        <x:v>0.011646981627296589</x:v>
      </x:c>
      <x:c r="M23" s="15" t="n">
        <x:f>IF(OR(F23="",F23=0),"",H23/F23)</x:f>
        <x:v>9.239216293167322</x:v>
      </x:c>
      <x:c r="N23" s="16" t="n">
        <x:f>IF(OR(I23="",I23=0),"",J23/I23)</x:f>
        <x:v>0.09991769547325102</x:v>
      </x:c>
      <x:c r="O23" s="16" t="n">
        <x:f>IF(OR(C23="",C23=0),"",I23/C23)</x:f>
        <x:v>0.9960649286768323</x:v>
      </x:c>
      <x:c r="P23" s="16" t="n">
        <x:f>IF(OR(D23="",D22="",D22=0),"",D23/D22-1)</x:f>
        <x:v>-0.12425706082041132</x:v>
      </x:c>
      <x:c r="Q23" s="2" t="str">
        <x:v>06/18</x:v>
      </x:c>
    </x:row>
    <x:row r="24" ht="22" customHeight="1">
      <x:c r="A24" s="4" t="d">
        <x:v>2018-07-01T00:00:00.000Z</x:v>
      </x:c>
      <x:c r="B24" s="8" t="n">
        <x:f>IF(AND($A24&gt;=Dashboard!$E$5,$A24&lt;=Dashboard!$H$5,Dashboard!$E$5&lt;=Dashboard!$H$5),IF(Dashboard!$B$5="ALL",SUMIFS(Data!$C$2:$C$508,Data!$A$2:$A$508,$A24),SUMIFS(Data!$C$2:$C$508,Data!$A$2:$A$508,$A24,Data!$B$2:$B$508,Dashboard!$B$5)),"")</x:f>
        <x:v>6292</x:v>
      </x:c>
      <x:c r="C24" s="8" t="n">
        <x:f>IF(AND($A24&gt;=Dashboard!$E$5,$A24&lt;=Dashboard!$H$5,Dashboard!$E$5&lt;=Dashboard!$H$5),IF(Dashboard!$B$5="ALL",SUMIFS(Data!$D$2:$D$508,Data!$A$2:$A$508,$A24),SUMIFS(Data!$D$2:$D$508,Data!$A$2:$A$508,$A24,Data!$B$2:$B$508,Dashboard!$B$5)),"")</x:f>
        <x:v>6159</x:v>
      </x:c>
      <x:c r="D24" s="9" t="n">
        <x:f>IF(AND($A24&gt;=Dashboard!$E$5,$A24&lt;=Dashboard!$H$5,Dashboard!$E$5&lt;=Dashboard!$H$5),IF(Dashboard!$B$5="ALL",SUMIFS(Data!$E$2:$E$508,Data!$A$2:$A$508,$A24),SUMIFS(Data!$E$2:$E$508,Data!$A$2:$A$508,$A24,Data!$B$2:$B$508,Dashboard!$B$5)),"")</x:f>
        <x:v>867953.46</x:v>
      </x:c>
      <x:c r="E24" s="9" t="n">
        <x:f>IF(AND($A24&gt;=Dashboard!$E$5,$A24&lt;=Dashboard!$H$5,Dashboard!$E$5&lt;=Dashboard!$H$5),IF(Dashboard!$B$5="ALL",SUMIFS(Data!$F$2:$F$508,Data!$A$2:$A$508,$A24),SUMIFS(Data!$F$2:$F$508,Data!$A$2:$A$508,$A24,Data!$B$2:$B$508,Dashboard!$B$5)),"")</x:f>
        <x:v>159853.82</x:v>
      </x:c>
      <x:c r="F24" s="8" t="n">
        <x:f>IF(AND($A24&gt;=Dashboard!$E$5,$A24&lt;=Dashboard!$H$5,Dashboard!$E$5&lt;=Dashboard!$H$5),IF(Dashboard!$B$5="ALL",SUMIFS(Data!$G$2:$G$508,Data!$A$2:$A$508,$A24),SUMIFS(Data!$G$2:$G$508,Data!$A$2:$A$508,$A24,Data!$B$2:$B$508,Dashboard!$B$5)),"")</x:f>
        <x:v>6156</x:v>
      </x:c>
      <x:c r="G24" s="8" t="n">
        <x:f>IF(AND($A24&gt;=Dashboard!$E$5,$A24&lt;=Dashboard!$H$5,Dashboard!$E$5&lt;=Dashboard!$H$5),IF(Dashboard!$B$5="ALL",SUMIFS(Data!$H$2:$H$508,Data!$A$2:$A$508,$A24),SUMIFS(Data!$H$2:$H$508,Data!$A$2:$A$508,$A24,Data!$B$2:$B$508,Dashboard!$B$5)),"")</x:f>
        <x:v>208</x:v>
      </x:c>
      <x:c r="H24" s="8" t="n">
        <x:f>IF(AND($A24&gt;=Dashboard!$E$5,$A24&lt;=Dashboard!$H$5,Dashboard!$E$5&lt;=Dashboard!$H$5),IF(Dashboard!$B$5="ALL",SUMIFS(Data!$I$2:$I$508,Data!$A$2:$A$508,$A24),SUMIFS(Data!$I$2:$I$508,Data!$A$2:$A$508,$A24,Data!$B$2:$B$508,Dashboard!$B$5)),"")</x:f>
        <x:v>55149.3646759258</x:v>
      </x:c>
      <x:c r="I24" s="8" t="n">
        <x:f>IF(AND($A24&gt;=Dashboard!$E$5,$A24&lt;=Dashboard!$H$5,Dashboard!$E$5&lt;=Dashboard!$H$5),IF(Dashboard!$B$5="ALL",SUMIFS(Data!$J$2:$J$508,Data!$A$2:$A$508,$A24),SUMIFS(Data!$J$2:$J$508,Data!$A$2:$A$508,$A24,Data!$B$2:$B$508,Dashboard!$B$5)),"")</x:f>
        <x:v>6121</x:v>
      </x:c>
      <x:c r="J24" s="8" t="n">
        <x:f>IF(AND($A24&gt;=Dashboard!$E$5,$A24&lt;=Dashboard!$H$5,Dashboard!$E$5&lt;=Dashboard!$H$5),IF(Dashboard!$B$5="ALL",SUMIFS(Data!$K$2:$K$508,Data!$A$2:$A$508,$A24),SUMIFS(Data!$K$2:$K$508,Data!$A$2:$A$508,$A24,Data!$B$2:$B$508,Dashboard!$B$5)),"")</x:f>
        <x:v>592</x:v>
      </x:c>
      <x:c r="K24" s="9" t="n">
        <x:f>IF(OR(C24="",C24=0),"",D24/C24)</x:f>
        <x:v>140.9244130540672</x:v>
      </x:c>
      <x:c r="L24" s="16" t="n">
        <x:f>IF(OR(F24="",F24=0),"",G24/F24)</x:f>
        <x:v>0.03378817413905133</x:v>
      </x:c>
      <x:c r="M24" s="15" t="n">
        <x:f>IF(OR(F24="",F24=0),"",H24/F24)</x:f>
        <x:v>8.958636237154938</x:v>
      </x:c>
      <x:c r="N24" s="16" t="n">
        <x:f>IF(OR(I24="",I24=0),"",J24/I24)</x:f>
        <x:v>0.09671622283940533</x:v>
      </x:c>
      <x:c r="O24" s="16" t="n">
        <x:f>IF(OR(C24="",C24=0),"",I24/C24)</x:f>
        <x:v>0.9938301672349408</x:v>
      </x:c>
      <x:c r="P24" s="16" t="n">
        <x:f>IF(OR(D24="",D23="",D23=0),"",D24/D23-1)</x:f>
        <x:v>0.013872102708041067</x:v>
      </x:c>
      <x:c r="Q24" s="2" t="str">
        <x:v>07/18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3" t="str">
        <x:v>Доставка по штатам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  <x:c r="Q2" s="2"/>
    </x:row>
    <x:row r="3" ht="22" customHeight="1">
      <x:c r="A3" s="2" t="str">
        <x:v>Выбранный период Dashboard. Сравниваются все штаты; выбор штата здесь не ограничивает таблицу.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0" customHeight="1">
      <x:c r="A5" s="13" t="str">
        <x:v>Штат</x:v>
      </x:c>
      <x:c r="B5" s="13" t="str">
        <x:v>Доставлено</x:v>
      </x:c>
      <x:c r="C5" s="13" t="str">
        <x:v>GMV BRL</x:v>
      </x:c>
      <x:c r="D5" s="13" t="str">
        <x:v>Пригодно</x:v>
      </x:c>
      <x:c r="E5" s="13" t="str">
        <x:v>Опоздало</x:v>
      </x:c>
      <x:c r="F5" s="13" t="str">
        <x:v>Доля опозданий</x:v>
      </x:c>
      <x:c r="G5" s="13" t="str">
        <x:v>Средний срок</x:v>
      </x:c>
      <x:c r="H5" s="13" t="str">
        <x:v>Чек BRL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 ht="22" customHeight="1">
      <x:c r="A6" s="2" t="str">
        <x:v>SP</x:v>
      </x:c>
      <x:c r="B6" s="8" t="n">
        <x:f>IF(Dashboard!$E$5&gt;Dashboard!$H$5,"",SUMIFS(Data!$D$2:$D$508,Data!$B$2:$B$508,$A6,Data!$A$2:$A$508,"&gt;="&amp;Dashboard!$E$5,Data!$A$2:$A$508,"&lt;="&amp;Dashboard!$H$5))</x:f>
        <x:v>37242</x:v>
      </x:c>
      <x:c r="C6" s="8" t="n">
        <x:f>IF(Dashboard!$E$5&gt;Dashboard!$H$5,"",SUMIFS(Data!$E$2:$E$508,Data!$B$2:$B$508,$A6,Data!$A$2:$A$508,"&gt;="&amp;Dashboard!$E$5,Data!$A$2:$A$508,"&lt;="&amp;Dashboard!$H$5))</x:f>
        <x:v>4667853.42</x:v>
      </x:c>
      <x:c r="D6" s="8" t="n">
        <x:f>IF(Dashboard!$E$5&gt;Dashboard!$H$5,"",SUMIFS(Data!$G$2:$G$508,Data!$B$2:$B$508,$A6,Data!$A$2:$A$508,"&gt;="&amp;Dashboard!$E$5,Data!$A$2:$A$508,"&lt;="&amp;Dashboard!$H$5))</x:f>
        <x:v>37235</x:v>
      </x:c>
      <x:c r="E6" s="8" t="n">
        <x:f>IF(Dashboard!$E$5&gt;Dashboard!$H$5,"",SUMIFS(Data!$H$2:$H$508,Data!$B$2:$B$508,$A6,Data!$A$2:$A$508,"&gt;="&amp;Dashboard!$E$5,Data!$A$2:$A$508,"&lt;="&amp;Dashboard!$H$5))</x:f>
        <x:v>1532</x:v>
      </x:c>
      <x:c r="F6" s="16" t="n">
        <x:f>IF(OR(D6="",D6=0),"",E6/D6)</x:f>
        <x:v>0.04114408486638915</x:v>
      </x:c>
      <x:c r="G6" s="15" t="n">
        <x:f>IF(OR(D6="",D6=0),"",SUMIFS(Data!$I$2:$I$508,Data!$B$2:$B$508,$A6,Data!$A$2:$A$508,"&gt;="&amp;Dashboard!$E$5,Data!$A$2:$A$508,"&lt;="&amp;Dashboard!$H$5)/D6)</x:f>
        <x:v>8.9535862312813</x:v>
      </x:c>
      <x:c r="H6" s="9" t="n">
        <x:f>IF(OR(B6="",B6=0),"",C6/B6)</x:f>
        <x:v>125.33841952634123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 ht="22" customHeight="1">
      <x:c r="A7" s="2" t="str">
        <x:v>RJ</x:v>
      </x:c>
      <x:c r="B7" s="8" t="n">
        <x:f>IF(Dashboard!$E$5&gt;Dashboard!$H$5,"",SUMIFS(Data!$D$2:$D$508,Data!$B$2:$B$508,$A7,Data!$A$2:$A$508,"&gt;="&amp;Dashboard!$E$5,Data!$A$2:$A$508,"&lt;="&amp;Dashboard!$H$5))</x:f>
        <x:v>11587</x:v>
      </x:c>
      <x:c r="C7" s="8" t="n">
        <x:f>IF(Dashboard!$E$5&gt;Dashboard!$H$5,"",SUMIFS(Data!$E$2:$E$508,Data!$B$2:$B$508,$A7,Data!$A$2:$A$508,"&gt;="&amp;Dashboard!$E$5,Data!$A$2:$A$508,"&lt;="&amp;Dashboard!$H$5))</x:f>
        <x:v>1657663.3</x:v>
      </x:c>
      <x:c r="D7" s="8" t="n">
        <x:f>IF(Dashboard!$E$5&gt;Dashboard!$H$5,"",SUMIFS(Data!$G$2:$G$508,Data!$B$2:$B$508,$A7,Data!$A$2:$A$508,"&gt;="&amp;Dashboard!$E$5,Data!$A$2:$A$508,"&lt;="&amp;Dashboard!$H$5))</x:f>
        <x:v>11587</x:v>
      </x:c>
      <x:c r="E7" s="8" t="n">
        <x:f>IF(Dashboard!$E$5&gt;Dashboard!$H$5,"",SUMIFS(Data!$H$2:$H$508,Data!$B$2:$B$508,$A7,Data!$A$2:$A$508,"&gt;="&amp;Dashboard!$E$5,Data!$A$2:$A$508,"&lt;="&amp;Dashboard!$H$5))</x:f>
        <x:v>1453</x:v>
      </x:c>
      <x:c r="F7" s="16" t="n">
        <x:f>IF(OR(D7="",D7=0),"",E7/D7)</x:f>
        <x:v>0.12539915422456202</x:v>
      </x:c>
      <x:c r="G7" s="15" t="n">
        <x:f>IF(OR(D7="",D7=0),"",SUMIFS(Data!$I$2:$I$508,Data!$B$2:$B$508,$A7,Data!$A$2:$A$508,"&gt;="&amp;Dashboard!$E$5,Data!$A$2:$A$508,"&lt;="&amp;Dashboard!$H$5)/D7)</x:f>
        <x:v>15.734118351624916</x:v>
      </x:c>
      <x:c r="H7" s="9" t="n">
        <x:f>IF(OR(B7="",B7=0),"",C7/B7)</x:f>
        <x:v>143.06233710192458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22" customHeight="1">
      <x:c r="A8" s="2" t="str">
        <x:v>MG</x:v>
      </x:c>
      <x:c r="B8" s="8" t="n">
        <x:f>IF(Dashboard!$E$5&gt;Dashboard!$H$5,"",SUMIFS(Data!$D$2:$D$508,Data!$B$2:$B$508,$A8,Data!$A$2:$A$508,"&gt;="&amp;Dashboard!$E$5,Data!$A$2:$A$508,"&lt;="&amp;Dashboard!$H$5))</x:f>
        <x:v>10619</x:v>
      </x:c>
      <x:c r="C8" s="8" t="n">
        <x:f>IF(Dashboard!$E$5&gt;Dashboard!$H$5,"",SUMIFS(Data!$E$2:$E$508,Data!$B$2:$B$508,$A8,Data!$A$2:$A$508,"&gt;="&amp;Dashboard!$E$5,Data!$A$2:$A$508,"&lt;="&amp;Dashboard!$H$5))</x:f>
        <x:v>1452898.4899999998</x:v>
      </x:c>
      <x:c r="D8" s="8" t="n">
        <x:f>IF(Dashboard!$E$5&gt;Dashboard!$H$5,"",SUMIFS(Data!$G$2:$G$508,Data!$B$2:$B$508,$A8,Data!$A$2:$A$508,"&gt;="&amp;Dashboard!$E$5,Data!$A$2:$A$508,"&lt;="&amp;Dashboard!$H$5))</x:f>
        <x:v>10619</x:v>
      </x:c>
      <x:c r="E8" s="8" t="n">
        <x:f>IF(Dashboard!$E$5&gt;Dashboard!$H$5,"",SUMIFS(Data!$H$2:$H$508,Data!$B$2:$B$508,$A8,Data!$A$2:$A$508,"&gt;="&amp;Dashboard!$E$5,Data!$A$2:$A$508,"&lt;="&amp;Dashboard!$H$5))</x:f>
        <x:v>507</x:v>
      </x:c>
      <x:c r="F8" s="16" t="n">
        <x:f>IF(OR(D8="",D8=0),"",E8/D8)</x:f>
        <x:v>0.047744608720218476</x:v>
      </x:c>
      <x:c r="G8" s="15" t="n">
        <x:f>IF(OR(D8="",D8=0),"",SUMIFS(Data!$I$2:$I$508,Data!$B$2:$B$508,$A8,Data!$A$2:$A$508,"&gt;="&amp;Dashboard!$E$5,Data!$A$2:$A$508,"&lt;="&amp;Dashboard!$H$5)/D8)</x:f>
        <x:v>12.276933972299819</x:v>
      </x:c>
      <x:c r="H8" s="9" t="n">
        <x:f>IF(OR(B8="",B8=0),"",C8/B8)</x:f>
        <x:v>136.8206507204068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22" customHeight="1">
      <x:c r="A9" s="2" t="str">
        <x:v>BA</x:v>
      </x:c>
      <x:c r="B9" s="8" t="n">
        <x:f>IF(Dashboard!$E$5&gt;Dashboard!$H$5,"",SUMIFS(Data!$D$2:$D$508,Data!$B$2:$B$508,$A9,Data!$A$2:$A$508,"&gt;="&amp;Dashboard!$E$5,Data!$A$2:$A$508,"&lt;="&amp;Dashboard!$H$5))</x:f>
        <x:v>3094</x:v>
      </x:c>
      <x:c r="C9" s="8" t="n">
        <x:f>IF(Dashboard!$E$5&gt;Dashboard!$H$5,"",SUMIFS(Data!$E$2:$E$508,Data!$B$2:$B$508,$A9,Data!$A$2:$A$508,"&gt;="&amp;Dashboard!$E$5,Data!$A$2:$A$508,"&lt;="&amp;Dashboard!$H$5))</x:f>
        <x:v>472225.41000000003</x:v>
      </x:c>
      <x:c r="D9" s="8" t="n">
        <x:f>IF(Dashboard!$E$5&gt;Dashboard!$H$5,"",SUMIFS(Data!$G$2:$G$508,Data!$B$2:$B$508,$A9,Data!$A$2:$A$508,"&gt;="&amp;Dashboard!$E$5,Data!$A$2:$A$508,"&lt;="&amp;Dashboard!$H$5))</x:f>
        <x:v>3094</x:v>
      </x:c>
      <x:c r="E9" s="8" t="n">
        <x:f>IF(Dashboard!$E$5&gt;Dashboard!$H$5,"",SUMIFS(Data!$H$2:$H$508,Data!$B$2:$B$508,$A9,Data!$A$2:$A$508,"&gt;="&amp;Dashboard!$E$5,Data!$A$2:$A$508,"&lt;="&amp;Dashboard!$H$5))</x:f>
        <x:v>395</x:v>
      </x:c>
      <x:c r="F9" s="16" t="n">
        <x:f>IF(OR(D9="",D9=0),"",E9/D9)</x:f>
        <x:v>0.12766645119586295</x:v>
      </x:c>
      <x:c r="G9" s="15" t="n">
        <x:f>IF(OR(D9="",D9=0),"",SUMIFS(Data!$I$2:$I$508,Data!$B$2:$B$508,$A9,Data!$A$2:$A$508,"&gt;="&amp;Dashboard!$E$5,Data!$A$2:$A$508,"&lt;="&amp;Dashboard!$H$5)/D9)</x:f>
        <x:v>19.736225030076113</x:v>
      </x:c>
      <x:c r="H9" s="9" t="n">
        <x:f>IF(OR(B9="",B9=0),"",C9/B9)</x:f>
        <x:v>152.62618293471235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 ht="22" customHeight="1">
      <x:c r="A10" s="2" t="str">
        <x:v>RS</x:v>
      </x:c>
      <x:c r="B10" s="8" t="n">
        <x:f>IF(Dashboard!$E$5&gt;Dashboard!$H$5,"",SUMIFS(Data!$D$2:$D$508,Data!$B$2:$B$508,$A10,Data!$A$2:$A$508,"&gt;="&amp;Dashboard!$E$5,Data!$A$2:$A$508,"&lt;="&amp;Dashboard!$H$5))</x:f>
        <x:v>5035</x:v>
      </x:c>
      <x:c r="C10" s="8" t="n">
        <x:f>IF(Dashboard!$E$5&gt;Dashboard!$H$5,"",SUMIFS(Data!$E$2:$E$508,Data!$B$2:$B$508,$A10,Data!$A$2:$A$508,"&gt;="&amp;Dashboard!$E$5,Data!$A$2:$A$508,"&lt;="&amp;Dashboard!$H$5))</x:f>
        <x:v>683529.4500000001</x:v>
      </x:c>
      <x:c r="D10" s="8" t="n">
        <x:f>IF(Dashboard!$E$5&gt;Dashboard!$H$5,"",SUMIFS(Data!$G$2:$G$508,Data!$B$2:$B$508,$A10,Data!$A$2:$A$508,"&gt;="&amp;Dashboard!$E$5,Data!$A$2:$A$508,"&lt;="&amp;Dashboard!$H$5))</x:f>
        <x:v>5034</x:v>
      </x:c>
      <x:c r="E10" s="8" t="n">
        <x:f>IF(Dashboard!$E$5&gt;Dashboard!$H$5,"",SUMIFS(Data!$H$2:$H$508,Data!$B$2:$B$508,$A10,Data!$A$2:$A$508,"&gt;="&amp;Dashboard!$E$5,Data!$A$2:$A$508,"&lt;="&amp;Dashboard!$H$5))</x:f>
        <x:v>316</x:v>
      </x:c>
      <x:c r="F10" s="16" t="n">
        <x:f>IF(OR(D10="",D10=0),"",E10/D10)</x:f>
        <x:v>0.06277314263011521</x:v>
      </x:c>
      <x:c r="G10" s="15" t="n">
        <x:f>IF(OR(D10="",D10=0),"",SUMIFS(Data!$I$2:$I$508,Data!$B$2:$B$508,$A10,Data!$A$2:$A$508,"&gt;="&amp;Dashboard!$E$5,Data!$A$2:$A$508,"&lt;="&amp;Dashboard!$H$5)/D10)</x:f>
        <x:v>15.600164743172366</x:v>
      </x:c>
      <x:c r="H10" s="9" t="n">
        <x:f>IF(OR(B10="",B10=0),"",C10/B10)</x:f>
        <x:v>135.75560079443895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SC</x:v>
      </x:c>
      <x:c r="B11" s="8" t="n">
        <x:f>IF(Dashboard!$E$5&gt;Dashboard!$H$5,"",SUMIFS(Data!$D$2:$D$508,Data!$B$2:$B$508,$A11,Data!$A$2:$A$508,"&gt;="&amp;Dashboard!$E$5,Data!$A$2:$A$508,"&lt;="&amp;Dashboard!$H$5))</x:f>
        <x:v>3336</x:v>
      </x:c>
      <x:c r="C11" s="8" t="n">
        <x:f>IF(Dashboard!$E$5&gt;Dashboard!$H$5,"",SUMIFS(Data!$E$2:$E$508,Data!$B$2:$B$508,$A11,Data!$A$2:$A$508,"&gt;="&amp;Dashboard!$E$5,Data!$A$2:$A$508,"&lt;="&amp;Dashboard!$H$5))</x:f>
        <x:v>472553.1399999999</x:v>
      </x:c>
      <x:c r="D11" s="8" t="n">
        <x:f>IF(Dashboard!$E$5&gt;Dashboard!$H$5,"",SUMIFS(Data!$G$2:$G$508,Data!$B$2:$B$508,$A11,Data!$A$2:$A$508,"&gt;="&amp;Dashboard!$E$5,Data!$A$2:$A$508,"&lt;="&amp;Dashboard!$H$5))</x:f>
        <x:v>3336</x:v>
      </x:c>
      <x:c r="E11" s="8" t="n">
        <x:f>IF(Dashboard!$E$5&gt;Dashboard!$H$5,"",SUMIFS(Data!$H$2:$H$508,Data!$B$2:$B$508,$A11,Data!$A$2:$A$508,"&gt;="&amp;Dashboard!$E$5,Data!$A$2:$A$508,"&lt;="&amp;Dashboard!$H$5))</x:f>
        <x:v>285</x:v>
      </x:c>
      <x:c r="F11" s="16" t="n">
        <x:f>IF(OR(D11="",D11=0),"",E11/D11)</x:f>
        <x:v>0.08543165467625899</x:v>
      </x:c>
      <x:c r="G11" s="15" t="n">
        <x:f>IF(OR(D11="",D11=0),"",SUMIFS(Data!$I$2:$I$508,Data!$B$2:$B$508,$A11,Data!$A$2:$A$508,"&gt;="&amp;Dashboard!$E$5,Data!$A$2:$A$508,"&lt;="&amp;Dashboard!$H$5)/D11)</x:f>
        <x:v>15.301303668870531</x:v>
      </x:c>
      <x:c r="H11" s="9" t="n">
        <x:f>IF(OR(B11="",B11=0),"",C11/B11)</x:f>
        <x:v>141.65261990407672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2" customHeight="1">
      <x:c r="A12" s="2" t="str">
        <x:v>ES</x:v>
      </x:c>
      <x:c r="B12" s="8" t="n">
        <x:f>IF(Dashboard!$E$5&gt;Dashboard!$H$5,"",SUMIFS(Data!$D$2:$D$508,Data!$B$2:$B$508,$A12,Data!$A$2:$A$508,"&gt;="&amp;Dashboard!$E$5,Data!$A$2:$A$508,"&lt;="&amp;Dashboard!$H$5))</x:f>
        <x:v>1889</x:v>
      </x:c>
      <x:c r="C12" s="8" t="n">
        <x:f>IF(Dashboard!$E$5&gt;Dashboard!$H$5,"",SUMIFS(Data!$E$2:$E$508,Data!$B$2:$B$508,$A12,Data!$A$2:$A$508,"&gt;="&amp;Dashboard!$E$5,Data!$A$2:$A$508,"&lt;="&amp;Dashboard!$H$5))</x:f>
        <x:v>251336.62</x:v>
      </x:c>
      <x:c r="D12" s="8" t="n">
        <x:f>IF(Dashboard!$E$5&gt;Dashboard!$H$5,"",SUMIFS(Data!$G$2:$G$508,Data!$B$2:$B$508,$A12,Data!$A$2:$A$508,"&gt;="&amp;Dashboard!$E$5,Data!$A$2:$A$508,"&lt;="&amp;Dashboard!$H$5))</x:f>
        <x:v>1889</x:v>
      </x:c>
      <x:c r="E12" s="8" t="n">
        <x:f>IF(Dashboard!$E$5&gt;Dashboard!$H$5,"",SUMIFS(Data!$H$2:$H$508,Data!$B$2:$B$508,$A12,Data!$A$2:$A$508,"&gt;="&amp;Dashboard!$E$5,Data!$A$2:$A$508,"&lt;="&amp;Dashboard!$H$5))</x:f>
        <x:v>214</x:v>
      </x:c>
      <x:c r="F12" s="16" t="n">
        <x:f>IF(OR(D12="",D12=0),"",E12/D12)</x:f>
        <x:v>0.11328745367919534</x:v>
      </x:c>
      <x:c r="G12" s="15" t="n">
        <x:f>IF(OR(D12="",D12=0),"",SUMIFS(Data!$I$2:$I$508,Data!$B$2:$B$508,$A12,Data!$A$2:$A$508,"&gt;="&amp;Dashboard!$E$5,Data!$A$2:$A$508,"&lt;="&amp;Dashboard!$H$5)/D12)</x:f>
        <x:v>16.08627917720545</x:v>
      </x:c>
      <x:c r="H12" s="9" t="n">
        <x:f>IF(OR(B12="",B12=0),"",C12/B12)</x:f>
        <x:v>133.05273689782953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2" customHeight="1">
      <x:c r="A13" s="2" t="str">
        <x:v>PR</x:v>
      </x:c>
      <x:c r="B13" s="8" t="n">
        <x:f>IF(Dashboard!$E$5&gt;Dashboard!$H$5,"",SUMIFS(Data!$D$2:$D$508,Data!$B$2:$B$508,$A13,Data!$A$2:$A$508,"&gt;="&amp;Dashboard!$E$5,Data!$A$2:$A$508,"&lt;="&amp;Dashboard!$H$5))</x:f>
        <x:v>4576</x:v>
      </x:c>
      <x:c r="C13" s="8" t="n">
        <x:f>IF(Dashboard!$E$5&gt;Dashboard!$H$5,"",SUMIFS(Data!$E$2:$E$508,Data!$B$2:$B$508,$A13,Data!$A$2:$A$508,"&gt;="&amp;Dashboard!$E$5,Data!$A$2:$A$508,"&lt;="&amp;Dashboard!$H$5))</x:f>
        <x:v>625547.5999999999</x:v>
      </x:c>
      <x:c r="D13" s="8" t="n">
        <x:f>IF(Dashboard!$E$5&gt;Dashboard!$H$5,"",SUMIFS(Data!$G$2:$G$508,Data!$B$2:$B$508,$A13,Data!$A$2:$A$508,"&gt;="&amp;Dashboard!$E$5,Data!$A$2:$A$508,"&lt;="&amp;Dashboard!$H$5))</x:f>
        <x:v>4576</x:v>
      </x:c>
      <x:c r="E13" s="8" t="n">
        <x:f>IF(Dashboard!$E$5&gt;Dashboard!$H$5,"",SUMIFS(Data!$H$2:$H$508,Data!$B$2:$B$508,$A13,Data!$A$2:$A$508,"&gt;="&amp;Dashboard!$E$5,Data!$A$2:$A$508,"&lt;="&amp;Dashboard!$H$5))</x:f>
        <x:v>189</x:v>
      </x:c>
      <x:c r="F13" s="16" t="n">
        <x:f>IF(OR(D13="",D13=0),"",E13/D13)</x:f>
        <x:v>0.04130244755244755</x:v>
      </x:c>
      <x:c r="G13" s="15" t="n">
        <x:f>IF(OR(D13="",D13=0),"",SUMIFS(Data!$I$2:$I$508,Data!$B$2:$B$508,$A13,Data!$A$2:$A$508,"&gt;="&amp;Dashboard!$E$5,Data!$A$2:$A$508,"&lt;="&amp;Dashboard!$H$5)/D13)</x:f>
        <x:v>12.251631286826594</x:v>
      </x:c>
      <x:c r="H13" s="9" t="n">
        <x:f>IF(OR(B13="",B13=0),"",C13/B13)</x:f>
        <x:v>136.70183566433565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2" customHeight="1">
      <x:c r="A14" s="2" t="str">
        <x:v>CE</x:v>
      </x:c>
      <x:c r="B14" s="8" t="n">
        <x:f>IF(Dashboard!$E$5&gt;Dashboard!$H$5,"",SUMIFS(Data!$D$2:$D$508,Data!$B$2:$B$508,$A14,Data!$A$2:$A$508,"&gt;="&amp;Dashboard!$E$5,Data!$A$2:$A$508,"&lt;="&amp;Dashboard!$H$5))</x:f>
        <x:v>1218</x:v>
      </x:c>
      <x:c r="C14" s="8" t="n">
        <x:f>IF(Dashboard!$E$5&gt;Dashboard!$H$5,"",SUMIFS(Data!$E$2:$E$508,Data!$B$2:$B$508,$A14,Data!$A$2:$A$508,"&gt;="&amp;Dashboard!$E$5,Data!$A$2:$A$508,"&lt;="&amp;Dashboard!$H$5))</x:f>
        <x:v>208650.66000000003</x:v>
      </x:c>
      <x:c r="D14" s="8" t="n">
        <x:f>IF(Dashboard!$E$5&gt;Dashboard!$H$5,"",SUMIFS(Data!$G$2:$G$508,Data!$B$2:$B$508,$A14,Data!$A$2:$A$508,"&gt;="&amp;Dashboard!$E$5,Data!$A$2:$A$508,"&lt;="&amp;Dashboard!$H$5))</x:f>
        <x:v>1218</x:v>
      </x:c>
      <x:c r="E14" s="8" t="n">
        <x:f>IF(Dashboard!$E$5&gt;Dashboard!$H$5,"",SUMIFS(Data!$H$2:$H$508,Data!$B$2:$B$508,$A14,Data!$A$2:$A$508,"&gt;="&amp;Dashboard!$E$5,Data!$A$2:$A$508,"&lt;="&amp;Dashboard!$H$5))</x:f>
        <x:v>176</x:v>
      </x:c>
      <x:c r="F14" s="16" t="n">
        <x:f>IF(OR(D14="",D14=0),"",E14/D14)</x:f>
        <x:v>0.1444991789819376</x:v>
      </x:c>
      <x:c r="G14" s="15" t="n">
        <x:f>IF(OR(D14="",D14=0),"",SUMIFS(Data!$I$2:$I$508,Data!$B$2:$B$508,$A14,Data!$A$2:$A$508,"&gt;="&amp;Dashboard!$E$5,Data!$A$2:$A$508,"&lt;="&amp;Dashboard!$H$5)/D14)</x:f>
        <x:v>21.602361595739737</x:v>
      </x:c>
      <x:c r="H14" s="9" t="n">
        <x:f>IF(OR(B14="",B14=0),"",C14/B14)</x:f>
        <x:v>171.30596059113304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2" customHeight="1">
      <x:c r="A15" s="2" t="str">
        <x:v>PE</x:v>
      </x:c>
      <x:c r="B15" s="8" t="n">
        <x:f>IF(Dashboard!$E$5&gt;Dashboard!$H$5,"",SUMIFS(Data!$D$2:$D$508,Data!$B$2:$B$508,$A15,Data!$A$2:$A$508,"&gt;="&amp;Dashboard!$E$5,Data!$A$2:$A$508,"&lt;="&amp;Dashboard!$H$5))</x:f>
        <x:v>1504</x:v>
      </x:c>
      <x:c r="C15" s="8" t="n">
        <x:f>IF(Dashboard!$E$5&gt;Dashboard!$H$5,"",SUMIFS(Data!$E$2:$E$508,Data!$B$2:$B$508,$A15,Data!$A$2:$A$508,"&gt;="&amp;Dashboard!$E$5,Data!$A$2:$A$508,"&lt;="&amp;Dashboard!$H$5))</x:f>
        <x:v>238991.66000000003</x:v>
      </x:c>
      <x:c r="D15" s="8" t="n">
        <x:f>IF(Dashboard!$E$5&gt;Dashboard!$H$5,"",SUMIFS(Data!$G$2:$G$508,Data!$B$2:$B$508,$A15,Data!$A$2:$A$508,"&gt;="&amp;Dashboard!$E$5,Data!$A$2:$A$508,"&lt;="&amp;Dashboard!$H$5))</x:f>
        <x:v>1504</x:v>
      </x:c>
      <x:c r="E15" s="8" t="n">
        <x:f>IF(Dashboard!$E$5&gt;Dashboard!$H$5,"",SUMIFS(Data!$H$2:$H$508,Data!$B$2:$B$508,$A15,Data!$A$2:$A$508,"&gt;="&amp;Dashboard!$E$5,Data!$A$2:$A$508,"&lt;="&amp;Dashboard!$H$5))</x:f>
        <x:v>149</x:v>
      </x:c>
      <x:c r="F15" s="16" t="n">
        <x:f>IF(OR(D15="",D15=0),"",E15/D15)</x:f>
        <x:v>0.0990691489361702</x:v>
      </x:c>
      <x:c r="G15" s="15" t="n">
        <x:f>IF(OR(D15="",D15=0),"",SUMIFS(Data!$I$2:$I$508,Data!$B$2:$B$508,$A15,Data!$A$2:$A$508,"&gt;="&amp;Dashboard!$E$5,Data!$A$2:$A$508,"&lt;="&amp;Dashboard!$H$5)/D15)</x:f>
        <x:v>18.79127442560578</x:v>
      </x:c>
      <x:c r="H15" s="9" t="n">
        <x:f>IF(OR(B15="",B15=0),"",C15/B15)</x:f>
        <x:v>158.90402925531916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2" customHeight="1">
      <x:c r="A16" s="2" t="str">
        <x:v>GO</x:v>
      </x:c>
      <x:c r="B16" s="8" t="n">
        <x:f>IF(Dashboard!$E$5&gt;Dashboard!$H$5,"",SUMIFS(Data!$D$2:$D$508,Data!$B$2:$B$508,$A16,Data!$A$2:$A$508,"&gt;="&amp;Dashboard!$E$5,Data!$A$2:$A$508,"&lt;="&amp;Dashboard!$H$5))</x:f>
        <x:v>1833</x:v>
      </x:c>
      <x:c r="C16" s="8" t="n">
        <x:f>IF(Dashboard!$E$5&gt;Dashboard!$H$5,"",SUMIFS(Data!$E$2:$E$508,Data!$B$2:$B$508,$A16,Data!$A$2:$A$508,"&gt;="&amp;Dashboard!$E$5,Data!$A$2:$A$508,"&lt;="&amp;Dashboard!$H$5))</x:f>
        <x:v>263903.22</x:v>
      </x:c>
      <x:c r="D16" s="8" t="n">
        <x:f>IF(Dashboard!$E$5&gt;Dashboard!$H$5,"",SUMIFS(Data!$G$2:$G$508,Data!$B$2:$B$508,$A16,Data!$A$2:$A$508,"&gt;="&amp;Dashboard!$E$5,Data!$A$2:$A$508,"&lt;="&amp;Dashboard!$H$5))</x:f>
        <x:v>1833</x:v>
      </x:c>
      <x:c r="E16" s="8" t="n">
        <x:f>IF(Dashboard!$E$5&gt;Dashboard!$H$5,"",SUMIFS(Data!$H$2:$H$508,Data!$B$2:$B$508,$A16,Data!$A$2:$A$508,"&gt;="&amp;Dashboard!$E$5,Data!$A$2:$A$508,"&lt;="&amp;Dashboard!$H$5))</x:f>
        <x:v>125</x:v>
      </x:c>
      <x:c r="F16" s="16" t="n">
        <x:f>IF(OR(D16="",D16=0),"",E16/D16)</x:f>
        <x:v>0.06819421713038734</x:v>
      </x:c>
      <x:c r="G16" s="15" t="n">
        <x:f>IF(OR(D16="",D16=0),"",SUMIFS(Data!$I$2:$I$508,Data!$B$2:$B$508,$A16,Data!$A$2:$A$508,"&gt;="&amp;Dashboard!$E$5,Data!$A$2:$A$508,"&lt;="&amp;Dashboard!$H$5)/D16)</x:f>
        <x:v>15.941306392829022</x:v>
      </x:c>
      <x:c r="H16" s="9" t="n">
        <x:f>IF(OR(B16="",B16=0),"",C16/B16)</x:f>
        <x:v>143.973387888707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2" customHeight="1">
      <x:c r="A17" s="2" t="str">
        <x:v>MA</x:v>
      </x:c>
      <x:c r="B17" s="8" t="n">
        <x:f>IF(Dashboard!$E$5&gt;Dashboard!$H$5,"",SUMIFS(Data!$D$2:$D$508,Data!$B$2:$B$508,$A17,Data!$A$2:$A$508,"&gt;="&amp;Dashboard!$E$5,Data!$A$2:$A$508,"&lt;="&amp;Dashboard!$H$5))</x:f>
        <x:v>684</x:v>
      </x:c>
      <x:c r="C17" s="8" t="n">
        <x:f>IF(Dashboard!$E$5&gt;Dashboard!$H$5,"",SUMIFS(Data!$E$2:$E$508,Data!$B$2:$B$508,$A17,Data!$A$2:$A$508,"&gt;="&amp;Dashboard!$E$5,Data!$A$2:$A$508,"&lt;="&amp;Dashboard!$H$5))</x:f>
        <x:v>112160.81999999998</x:v>
      </x:c>
      <x:c r="D17" s="8" t="n">
        <x:f>IF(Dashboard!$E$5&gt;Dashboard!$H$5,"",SUMIFS(Data!$G$2:$G$508,Data!$B$2:$B$508,$A17,Data!$A$2:$A$508,"&gt;="&amp;Dashboard!$E$5,Data!$A$2:$A$508,"&lt;="&amp;Dashboard!$H$5))</x:f>
        <x:v>684</x:v>
      </x:c>
      <x:c r="E17" s="8" t="n">
        <x:f>IF(Dashboard!$E$5&gt;Dashboard!$H$5,"",SUMIFS(Data!$H$2:$H$508,Data!$B$2:$B$508,$A17,Data!$A$2:$A$508,"&gt;="&amp;Dashboard!$E$5,Data!$A$2:$A$508,"&lt;="&amp;Dashboard!$H$5))</x:f>
        <x:v>123</x:v>
      </x:c>
      <x:c r="F17" s="16" t="n">
        <x:f>IF(OR(D17="",D17=0),"",E17/D17)</x:f>
        <x:v>0.17982456140350878</x:v>
      </x:c>
      <x:c r="G17" s="15" t="n">
        <x:f>IF(OR(D17="",D17=0),"",SUMIFS(Data!$I$2:$I$508,Data!$B$2:$B$508,$A17,Data!$A$2:$A$508,"&gt;="&amp;Dashboard!$E$5,Data!$A$2:$A$508,"&lt;="&amp;Dashboard!$H$5)/D17)</x:f>
        <x:v>21.911013154510524</x:v>
      </x:c>
      <x:c r="H17" s="9" t="n">
        <x:f>IF(OR(B17="",B17=0),"",C17/B17)</x:f>
        <x:v>163.97780701754382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2" customHeight="1">
      <x:c r="A18" s="2" t="str">
        <x:v>DF</x:v>
      </x:c>
      <x:c r="B18" s="8" t="n">
        <x:f>IF(Dashboard!$E$5&gt;Dashboard!$H$5,"",SUMIFS(Data!$D$2:$D$508,Data!$B$2:$B$508,$A18,Data!$A$2:$A$508,"&gt;="&amp;Dashboard!$E$5,Data!$A$2:$A$508,"&lt;="&amp;Dashboard!$H$5))</x:f>
        <x:v>1931</x:v>
      </x:c>
      <x:c r="C18" s="8" t="n">
        <x:f>IF(Dashboard!$E$5&gt;Dashboard!$H$5,"",SUMIFS(Data!$E$2:$E$508,Data!$B$2:$B$508,$A18,Data!$A$2:$A$508,"&gt;="&amp;Dashboard!$E$5,Data!$A$2:$A$508,"&lt;="&amp;Dashboard!$H$5))</x:f>
        <x:v>275573.04000000004</x:v>
      </x:c>
      <x:c r="D18" s="8" t="n">
        <x:f>IF(Dashboard!$E$5&gt;Dashboard!$H$5,"",SUMIFS(Data!$G$2:$G$508,Data!$B$2:$B$508,$A18,Data!$A$2:$A$508,"&gt;="&amp;Dashboard!$E$5,Data!$A$2:$A$508,"&lt;="&amp;Dashboard!$H$5))</x:f>
        <x:v>1931</x:v>
      </x:c>
      <x:c r="E18" s="8" t="n">
        <x:f>IF(Dashboard!$E$5&gt;Dashboard!$H$5,"",SUMIFS(Data!$H$2:$H$508,Data!$B$2:$B$508,$A18,Data!$A$2:$A$508,"&gt;="&amp;Dashboard!$E$5,Data!$A$2:$A$508,"&lt;="&amp;Dashboard!$H$5))</x:f>
        <x:v>113</x:v>
      </x:c>
      <x:c r="F18" s="16" t="n">
        <x:f>IF(OR(D18="",D18=0),"",E18/D18)</x:f>
        <x:v>0.0585189021232522</x:v>
      </x:c>
      <x:c r="G18" s="15" t="n">
        <x:f>IF(OR(D18="",D18=0),"",SUMIFS(Data!$I$2:$I$508,Data!$B$2:$B$508,$A18,Data!$A$2:$A$508,"&gt;="&amp;Dashboard!$E$5,Data!$A$2:$A$508,"&lt;="&amp;Dashboard!$H$5)/D18)</x:f>
        <x:v>13.219744914839772</x:v>
      </x:c>
      <x:c r="H18" s="9" t="n">
        <x:f>IF(OR(B18="",B18=0),"",C18/B18)</x:f>
        <x:v>142.71001553599174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2" customHeight="1">
      <x:c r="A19" s="2" t="str">
        <x:v>PA</x:v>
      </x:c>
      <x:c r="B19" s="8" t="n">
        <x:f>IF(Dashboard!$E$5&gt;Dashboard!$H$5,"",SUMIFS(Data!$D$2:$D$508,Data!$B$2:$B$508,$A19,Data!$A$2:$A$508,"&gt;="&amp;Dashboard!$E$5,Data!$A$2:$A$508,"&lt;="&amp;Dashboard!$H$5))</x:f>
        <x:v>899</x:v>
      </x:c>
      <x:c r="C19" s="8" t="n">
        <x:f>IF(Dashboard!$E$5&gt;Dashboard!$H$5,"",SUMIFS(Data!$E$2:$E$508,Data!$B$2:$B$508,$A19,Data!$A$2:$A$508,"&gt;="&amp;Dashboard!$E$5,Data!$A$2:$A$508,"&lt;="&amp;Dashboard!$H$5))</x:f>
        <x:v>164454.21</x:v>
      </x:c>
      <x:c r="D19" s="8" t="n">
        <x:f>IF(Dashboard!$E$5&gt;Dashboard!$H$5,"",SUMIFS(Data!$G$2:$G$508,Data!$B$2:$B$508,$A19,Data!$A$2:$A$508,"&gt;="&amp;Dashboard!$E$5,Data!$A$2:$A$508,"&lt;="&amp;Dashboard!$H$5))</x:f>
        <x:v>899</x:v>
      </x:c>
      <x:c r="E19" s="8" t="n">
        <x:f>IF(Dashboard!$E$5&gt;Dashboard!$H$5,"",SUMIFS(Data!$H$2:$H$508,Data!$B$2:$B$508,$A19,Data!$A$2:$A$508,"&gt;="&amp;Dashboard!$E$5,Data!$A$2:$A$508,"&lt;="&amp;Dashboard!$H$5))</x:f>
        <x:v>106</x:v>
      </x:c>
      <x:c r="F19" s="16" t="n">
        <x:f>IF(OR(D19="",D19=0),"",E19/D19)</x:f>
        <x:v>0.11790878754171301</x:v>
      </x:c>
      <x:c r="G19" s="15" t="n">
        <x:f>IF(OR(D19="",D19=0),"",SUMIFS(Data!$I$2:$I$508,Data!$B$2:$B$508,$A19,Data!$A$2:$A$508,"&gt;="&amp;Dashboard!$E$5,Data!$A$2:$A$508,"&lt;="&amp;Dashboard!$H$5)/D19)</x:f>
        <x:v>24.227998921126144</x:v>
      </x:c>
      <x:c r="H19" s="9" t="n">
        <x:f>IF(OR(B19="",B19=0),"",C19/B19)</x:f>
        <x:v>182.93015572858732</x:v>
      </x:c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2" t="str">
        <x:v>AL</x:v>
      </x:c>
      <x:c r="B20" s="8" t="n">
        <x:f>IF(Dashboard!$E$5&gt;Dashboard!$H$5,"",SUMIFS(Data!$D$2:$D$508,Data!$B$2:$B$508,$A20,Data!$A$2:$A$508,"&gt;="&amp;Dashboard!$E$5,Data!$A$2:$A$508,"&lt;="&amp;Dashboard!$H$5))</x:f>
        <x:v>380</x:v>
      </x:c>
      <x:c r="C20" s="8" t="n">
        <x:f>IF(Dashboard!$E$5&gt;Dashboard!$H$5,"",SUMIFS(Data!$E$2:$E$508,Data!$B$2:$B$508,$A20,Data!$A$2:$A$508,"&gt;="&amp;Dashboard!$E$5,Data!$A$2:$A$508,"&lt;="&amp;Dashboard!$H$5))</x:f>
        <x:v>76552.45</x:v>
      </x:c>
      <x:c r="D20" s="8" t="n">
        <x:f>IF(Dashboard!$E$5&gt;Dashboard!$H$5,"",SUMIFS(Data!$G$2:$G$508,Data!$B$2:$B$508,$A20,Data!$A$2:$A$508,"&gt;="&amp;Dashboard!$E$5,Data!$A$2:$A$508,"&lt;="&amp;Dashboard!$H$5))</x:f>
        <x:v>380</x:v>
      </x:c>
      <x:c r="E20" s="8" t="n">
        <x:f>IF(Dashboard!$E$5&gt;Dashboard!$H$5,"",SUMIFS(Data!$H$2:$H$508,Data!$B$2:$B$508,$A20,Data!$A$2:$A$508,"&gt;="&amp;Dashboard!$E$5,Data!$A$2:$A$508,"&lt;="&amp;Dashboard!$H$5))</x:f>
        <x:v>85</x:v>
      </x:c>
      <x:c r="F20" s="16" t="n">
        <x:f>IF(OR(D20="",D20=0),"",E20/D20)</x:f>
        <x:v>0.2236842105263158</x:v>
      </x:c>
      <x:c r="G20" s="15" t="n">
        <x:f>IF(OR(D20="",D20=0),"",SUMIFS(Data!$I$2:$I$508,Data!$B$2:$B$508,$A20,Data!$A$2:$A$508,"&gt;="&amp;Dashboard!$E$5,Data!$A$2:$A$508,"&lt;="&amp;Dashboard!$H$5)/D20)</x:f>
        <x:v>24.95146019127632</x:v>
      </x:c>
      <x:c r="H20" s="9" t="n">
        <x:f>IF(OR(B20="",B20=0),"",C20/B20)</x:f>
        <x:v>201.45381578947368</x:v>
      </x:c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2" t="str">
        <x:v>PI</x:v>
      </x:c>
      <x:c r="B21" s="8" t="n">
        <x:f>IF(Dashboard!$E$5&gt;Dashboard!$H$5,"",SUMIFS(Data!$D$2:$D$508,Data!$B$2:$B$508,$A21,Data!$A$2:$A$508,"&gt;="&amp;Dashboard!$E$5,Data!$A$2:$A$508,"&lt;="&amp;Dashboard!$H$5))</x:f>
        <x:v>455</x:v>
      </x:c>
      <x:c r="C21" s="8" t="n">
        <x:f>IF(Dashboard!$E$5&gt;Dashboard!$H$5,"",SUMIFS(Data!$E$2:$E$508,Data!$B$2:$B$508,$A21,Data!$A$2:$A$508,"&gt;="&amp;Dashboard!$E$5,Data!$A$2:$A$508,"&lt;="&amp;Dashboard!$H$5))</x:f>
        <x:v>81587.77</x:v>
      </x:c>
      <x:c r="D21" s="8" t="n">
        <x:f>IF(Dashboard!$E$5&gt;Dashboard!$H$5,"",SUMIFS(Data!$G$2:$G$508,Data!$B$2:$B$508,$A21,Data!$A$2:$A$508,"&gt;="&amp;Dashboard!$E$5,Data!$A$2:$A$508,"&lt;="&amp;Dashboard!$H$5))</x:f>
        <x:v>455</x:v>
      </x:c>
      <x:c r="E21" s="8" t="n">
        <x:f>IF(Dashboard!$E$5&gt;Dashboard!$H$5,"",SUMIFS(Data!$H$2:$H$508,Data!$B$2:$B$508,$A21,Data!$A$2:$A$508,"&gt;="&amp;Dashboard!$E$5,Data!$A$2:$A$508,"&lt;="&amp;Dashboard!$H$5))</x:f>
        <x:v>66</x:v>
      </x:c>
      <x:c r="F21" s="16" t="n">
        <x:f>IF(OR(D21="",D21=0),"",E21/D21)</x:f>
        <x:v>0.14505494505494507</x:v>
      </x:c>
      <x:c r="G21" s="15" t="n">
        <x:f>IF(OR(D21="",D21=0),"",SUMIFS(Data!$I$2:$I$508,Data!$B$2:$B$508,$A21,Data!$A$2:$A$508,"&gt;="&amp;Dashboard!$E$5,Data!$A$2:$A$508,"&lt;="&amp;Dashboard!$H$5)/D21)</x:f>
        <x:v>19.772500763125716</x:v>
      </x:c>
      <x:c r="H21" s="9" t="n">
        <x:f>IF(OR(B21="",B21=0),"",C21/B21)</x:f>
        <x:v>179.31378021978023</x:v>
      </x:c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2" t="str">
        <x:v>MS</x:v>
      </x:c>
      <x:c r="B22" s="8" t="n">
        <x:f>IF(Dashboard!$E$5&gt;Dashboard!$H$5,"",SUMIFS(Data!$D$2:$D$508,Data!$B$2:$B$508,$A22,Data!$A$2:$A$508,"&gt;="&amp;Dashboard!$E$5,Data!$A$2:$A$508,"&lt;="&amp;Dashboard!$H$5))</x:f>
        <x:v>666</x:v>
      </x:c>
      <x:c r="C22" s="8" t="n">
        <x:f>IF(Dashboard!$E$5&gt;Dashboard!$H$5,"",SUMIFS(Data!$E$2:$E$508,Data!$B$2:$B$508,$A22,Data!$A$2:$A$508,"&gt;="&amp;Dashboard!$E$5,Data!$A$2:$A$508,"&lt;="&amp;Dashboard!$H$5))</x:f>
        <x:v>109878.54</x:v>
      </x:c>
      <x:c r="D22" s="8" t="n">
        <x:f>IF(Dashboard!$E$5&gt;Dashboard!$H$5,"",SUMIFS(Data!$G$2:$G$508,Data!$B$2:$B$508,$A22,Data!$A$2:$A$508,"&gt;="&amp;Dashboard!$E$5,Data!$A$2:$A$508,"&lt;="&amp;Dashboard!$H$5))</x:f>
        <x:v>666</x:v>
      </x:c>
      <x:c r="E22" s="8" t="n">
        <x:f>IF(Dashboard!$E$5&gt;Dashboard!$H$5,"",SUMIFS(Data!$H$2:$H$508,Data!$B$2:$B$508,$A22,Data!$A$2:$A$508,"&gt;="&amp;Dashboard!$E$5,Data!$A$2:$A$508,"&lt;="&amp;Dashboard!$H$5))</x:f>
        <x:v>58</x:v>
      </x:c>
      <x:c r="F22" s="16" t="n">
        <x:f>IF(OR(D22="",D22=0),"",E22/D22)</x:f>
        <x:v>0.08708708708708708</x:v>
      </x:c>
      <x:c r="G22" s="15" t="n">
        <x:f>IF(OR(D22="",D22=0),"",SUMIFS(Data!$I$2:$I$508,Data!$B$2:$B$508,$A22,Data!$A$2:$A$508,"&gt;="&amp;Dashboard!$E$5,Data!$A$2:$A$508,"&lt;="&amp;Dashboard!$H$5)/D22)</x:f>
        <x:v>15.661218944639039</x:v>
      </x:c>
      <x:c r="H22" s="9" t="n">
        <x:f>IF(OR(B22="",B22=0),"",C22/B22)</x:f>
        <x:v>164.9827927927928</x:v>
      </x:c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2" t="str">
        <x:v>MT</x:v>
      </x:c>
      <x:c r="B23" s="8" t="n">
        <x:f>IF(Dashboard!$E$5&gt;Dashboard!$H$5,"",SUMIFS(Data!$D$2:$D$508,Data!$B$2:$B$508,$A23,Data!$A$2:$A$508,"&gt;="&amp;Dashboard!$E$5,Data!$A$2:$A$508,"&lt;="&amp;Dashboard!$H$5))</x:f>
        <x:v>846</x:v>
      </x:c>
      <x:c r="C23" s="8" t="n">
        <x:f>IF(Dashboard!$E$5&gt;Dashboard!$H$5,"",SUMIFS(Data!$E$2:$E$508,Data!$B$2:$B$508,$A23,Data!$A$2:$A$508,"&gt;="&amp;Dashboard!$E$5,Data!$A$2:$A$508,"&lt;="&amp;Dashboard!$H$5))</x:f>
        <x:v>147524.58000000002</x:v>
      </x:c>
      <x:c r="D23" s="8" t="n">
        <x:f>IF(Dashboard!$E$5&gt;Dashboard!$H$5,"",SUMIFS(Data!$G$2:$G$508,Data!$B$2:$B$508,$A23,Data!$A$2:$A$508,"&gt;="&amp;Dashboard!$E$5,Data!$A$2:$A$508,"&lt;="&amp;Dashboard!$H$5))</x:f>
        <x:v>846</x:v>
      </x:c>
      <x:c r="E23" s="8" t="n">
        <x:f>IF(Dashboard!$E$5&gt;Dashboard!$H$5,"",SUMIFS(Data!$H$2:$H$508,Data!$B$2:$B$508,$A23,Data!$A$2:$A$508,"&gt;="&amp;Dashboard!$E$5,Data!$A$2:$A$508,"&lt;="&amp;Dashboard!$H$5))</x:f>
        <x:v>53</x:v>
      </x:c>
      <x:c r="F23" s="16" t="n">
        <x:f>IF(OR(D23="",D23=0),"",E23/D23)</x:f>
        <x:v>0.06264775413711583</x:v>
      </x:c>
      <x:c r="G23" s="15" t="n">
        <x:f>IF(OR(D23="",D23=0),"",SUMIFS(Data!$I$2:$I$508,Data!$B$2:$B$508,$A23,Data!$A$2:$A$508,"&gt;="&amp;Dashboard!$E$5,Data!$A$2:$A$508,"&lt;="&amp;Dashboard!$H$5)/D23)</x:f>
        <x:v>18.370224148498224</x:v>
      </x:c>
      <x:c r="H23" s="9" t="n">
        <x:f>IF(OR(B23="",B23=0),"",C23/B23)</x:f>
        <x:v>174.3789361702128</x:v>
      </x:c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2" t="str">
        <x:v>PB</x:v>
      </x:c>
      <x:c r="B24" s="8" t="n">
        <x:f>IF(Dashboard!$E$5&gt;Dashboard!$H$5,"",SUMIFS(Data!$D$2:$D$508,Data!$B$2:$B$508,$A24,Data!$A$2:$A$508,"&gt;="&amp;Dashboard!$E$5,Data!$A$2:$A$508,"&lt;="&amp;Dashboard!$H$5))</x:f>
        <x:v>488</x:v>
      </x:c>
      <x:c r="C24" s="8" t="n">
        <x:f>IF(Dashboard!$E$5&gt;Dashboard!$H$5,"",SUMIFS(Data!$E$2:$E$508,Data!$B$2:$B$508,$A24,Data!$A$2:$A$508,"&gt;="&amp;Dashboard!$E$5,Data!$A$2:$A$508,"&lt;="&amp;Dashboard!$H$5))</x:f>
        <x:v>104867.29000000001</x:v>
      </x:c>
      <x:c r="D24" s="8" t="n">
        <x:f>IF(Dashboard!$E$5&gt;Dashboard!$H$5,"",SUMIFS(Data!$G$2:$G$508,Data!$B$2:$B$508,$A24,Data!$A$2:$A$508,"&gt;="&amp;Dashboard!$E$5,Data!$A$2:$A$508,"&lt;="&amp;Dashboard!$H$5))</x:f>
        <x:v>488</x:v>
      </x:c>
      <x:c r="E24" s="8" t="n">
        <x:f>IF(Dashboard!$E$5&gt;Dashboard!$H$5,"",SUMIFS(Data!$H$2:$H$508,Data!$B$2:$B$508,$A24,Data!$A$2:$A$508,"&gt;="&amp;Dashboard!$E$5,Data!$A$2:$A$508,"&lt;="&amp;Dashboard!$H$5))</x:f>
        <x:v>52</x:v>
      </x:c>
      <x:c r="F24" s="16" t="n">
        <x:f>IF(OR(D24="",D24=0),"",E24/D24)</x:f>
        <x:v>0.10655737704918032</x:v>
      </x:c>
      <x:c r="G24" s="15" t="n">
        <x:f>IF(OR(D24="",D24=0),"",SUMIFS(Data!$I$2:$I$508,Data!$B$2:$B$508,$A24,Data!$A$2:$A$508,"&gt;="&amp;Dashboard!$E$5,Data!$A$2:$A$508,"&lt;="&amp;Dashboard!$H$5)/D24)</x:f>
        <x:v>20.794128197100406</x:v>
      </x:c>
      <x:c r="H24" s="9" t="n">
        <x:f>IF(OR(B24="",B24=0),"",C24/B24)</x:f>
        <x:v>214.89198770491805</x:v>
      </x:c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v>SE</x:v>
      </x:c>
      <x:c r="B25" s="8" t="n">
        <x:f>IF(Dashboard!$E$5&gt;Dashboard!$H$5,"",SUMIFS(Data!$D$2:$D$508,Data!$B$2:$B$508,$A25,Data!$A$2:$A$508,"&gt;="&amp;Dashboard!$E$5,Data!$A$2:$A$508,"&lt;="&amp;Dashboard!$H$5))</x:f>
        <x:v>309</x:v>
      </x:c>
      <x:c r="C25" s="8" t="n">
        <x:f>IF(Dashboard!$E$5&gt;Dashboard!$H$5,"",SUMIFS(Data!$E$2:$E$508,Data!$B$2:$B$508,$A25,Data!$A$2:$A$508,"&gt;="&amp;Dashboard!$E$5,Data!$A$2:$A$508,"&lt;="&amp;Dashboard!$H$5))</x:f>
        <x:v>51730.7</x:v>
      </x:c>
      <x:c r="D25" s="8" t="n">
        <x:f>IF(Dashboard!$E$5&gt;Dashboard!$H$5,"",SUMIFS(Data!$G$2:$G$508,Data!$B$2:$B$508,$A25,Data!$A$2:$A$508,"&gt;="&amp;Dashboard!$E$5,Data!$A$2:$A$508,"&lt;="&amp;Dashboard!$H$5))</x:f>
        <x:v>309</x:v>
      </x:c>
      <x:c r="E25" s="8" t="n">
        <x:f>IF(Dashboard!$E$5&gt;Dashboard!$H$5,"",SUMIFS(Data!$H$2:$H$508,Data!$B$2:$B$508,$A25,Data!$A$2:$A$508,"&gt;="&amp;Dashboard!$E$5,Data!$A$2:$A$508,"&lt;="&amp;Dashboard!$H$5))</x:f>
        <x:v>51</x:v>
      </x:c>
      <x:c r="F25" s="16" t="n">
        <x:f>IF(OR(D25="",D25=0),"",E25/D25)</x:f>
        <x:v>0.1650485436893204</x:v>
      </x:c>
      <x:c r="G25" s="15" t="n">
        <x:f>IF(OR(D25="",D25=0),"",SUMIFS(Data!$I$2:$I$508,Data!$B$2:$B$508,$A25,Data!$A$2:$A$508,"&gt;="&amp;Dashboard!$E$5,Data!$A$2:$A$508,"&lt;="&amp;Dashboard!$H$5)/D25)</x:f>
        <x:v>22.097050221742712</x:v>
      </x:c>
      <x:c r="H25" s="9" t="n">
        <x:f>IF(OR(B25="",B25=0),"",C25/B25)</x:f>
        <x:v>167.41326860841423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2" t="str">
        <x:v>RN</x:v>
      </x:c>
      <x:c r="B26" s="8" t="n">
        <x:f>IF(Dashboard!$E$5&gt;Dashboard!$H$5,"",SUMIFS(Data!$D$2:$D$508,Data!$B$2:$B$508,$A26,Data!$A$2:$A$508,"&gt;="&amp;Dashboard!$E$5,Data!$A$2:$A$508,"&lt;="&amp;Dashboard!$H$5))</x:f>
        <x:v>450</x:v>
      </x:c>
      <x:c r="C26" s="8" t="n">
        <x:f>IF(Dashboard!$E$5&gt;Dashboard!$H$5,"",SUMIFS(Data!$E$2:$E$508,Data!$B$2:$B$508,$A26,Data!$A$2:$A$508,"&gt;="&amp;Dashboard!$E$5,Data!$A$2:$A$508,"&lt;="&amp;Dashboard!$H$5))</x:f>
        <x:v>76140.6</x:v>
      </x:c>
      <x:c r="D26" s="8" t="n">
        <x:f>IF(Dashboard!$E$5&gt;Dashboard!$H$5,"",SUMIFS(Data!$G$2:$G$508,Data!$B$2:$B$508,$A26,Data!$A$2:$A$508,"&gt;="&amp;Dashboard!$E$5,Data!$A$2:$A$508,"&lt;="&amp;Dashboard!$H$5))</x:f>
        <x:v>450</x:v>
      </x:c>
      <x:c r="E26" s="8" t="n">
        <x:f>IF(Dashboard!$E$5&gt;Dashboard!$H$5,"",SUMIFS(Data!$H$2:$H$508,Data!$B$2:$B$508,$A26,Data!$A$2:$A$508,"&gt;="&amp;Dashboard!$E$5,Data!$A$2:$A$508,"&lt;="&amp;Dashboard!$H$5))</x:f>
        <x:v>44</x:v>
      </x:c>
      <x:c r="F26" s="16" t="n">
        <x:f>IF(OR(D26="",D26=0),"",E26/D26)</x:f>
        <x:v>0.09777777777777778</x:v>
      </x:c>
      <x:c r="G26" s="15" t="n">
        <x:f>IF(OR(D26="",D26=0),"",SUMIFS(Data!$I$2:$I$508,Data!$B$2:$B$508,$A26,Data!$A$2:$A$508,"&gt;="&amp;Dashboard!$E$5,Data!$A$2:$A$508,"&lt;="&amp;Dashboard!$H$5)/D26)</x:f>
        <x:v>19.530705812756885</x:v>
      </x:c>
      <x:c r="H26" s="9" t="n">
        <x:f>IF(OR(B26="",B26=0),"",C26/B26)</x:f>
        <x:v>169.20133333333334</x:v>
      </x:c>
      <x:c r="I26" s="2"/>
      <x:c r="J26" s="2" t="str">
        <x:v>Порядок штатов: объём опозданий за весь базовый период.</x:v>
      </x:c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v>TO</x:v>
      </x:c>
      <x:c r="B27" s="8" t="n">
        <x:f>IF(Dashboard!$E$5&gt;Dashboard!$H$5,"",SUMIFS(Data!$D$2:$D$508,Data!$B$2:$B$508,$A27,Data!$A$2:$A$508,"&gt;="&amp;Dashboard!$E$5,Data!$A$2:$A$508,"&lt;="&amp;Dashboard!$H$5))</x:f>
        <x:v>261</x:v>
      </x:c>
      <x:c r="C27" s="8" t="n">
        <x:f>IF(Dashboard!$E$5&gt;Dashboard!$H$5,"",SUMIFS(Data!$E$2:$E$508,Data!$B$2:$B$508,$A27,Data!$A$2:$A$508,"&gt;="&amp;Dashboard!$E$5,Data!$A$2:$A$508,"&lt;="&amp;Dashboard!$H$5))</x:f>
        <x:v>46476.53999999999</x:v>
      </x:c>
      <x:c r="D27" s="8" t="n">
        <x:f>IF(Dashboard!$E$5&gt;Dashboard!$H$5,"",SUMIFS(Data!$G$2:$G$508,Data!$B$2:$B$508,$A27,Data!$A$2:$A$508,"&gt;="&amp;Dashboard!$E$5,Data!$A$2:$A$508,"&lt;="&amp;Dashboard!$H$5))</x:f>
        <x:v>261</x:v>
      </x:c>
      <x:c r="E27" s="8" t="n">
        <x:f>IF(Dashboard!$E$5&gt;Dashboard!$H$5,"",SUMIFS(Data!$H$2:$H$508,Data!$B$2:$B$508,$A27,Data!$A$2:$A$508,"&gt;="&amp;Dashboard!$E$5,Data!$A$2:$A$508,"&lt;="&amp;Dashboard!$H$5))</x:f>
        <x:v>25</x:v>
      </x:c>
      <x:c r="F27" s="16" t="n">
        <x:f>IF(OR(D27="",D27=0),"",E27/D27)</x:f>
        <x:v>0.09578544061302682</x:v>
      </x:c>
      <x:c r="G27" s="15" t="n">
        <x:f>IF(OR(D27="",D27=0),"",SUMIFS(Data!$I$2:$I$508,Data!$B$2:$B$508,$A27,Data!$A$2:$A$508,"&gt;="&amp;Dashboard!$E$5,Data!$A$2:$A$508,"&lt;="&amp;Dashboard!$H$5)/D27)</x:f>
        <x:v>17.92813989995709</x:v>
      </x:c>
      <x:c r="H27" s="9" t="n">
        <x:f>IF(OR(B27="",B27=0),"",C27/B27)</x:f>
        <x:v>178.0710344827586</x:v>
      </x:c>
      <x:c r="I27" s="2"/>
      <x:c r="J27" s="2" t="str">
        <x:v>Сравнивайте долю вместе с числом пригодных заказов.</x:v>
      </x:c>
      <x:c r="K27" s="2"/>
      <x:c r="L27" s="2"/>
      <x:c r="M27" s="2"/>
      <x:c r="N27" s="2"/>
      <x:c r="O27" s="2"/>
      <x:c r="P27" s="2"/>
      <x:c r="Q27" s="2"/>
    </x:row>
    <x:row r="28" ht="22" customHeight="1">
      <x:c r="A28" s="2" t="str">
        <x:v>RO</x:v>
      </x:c>
      <x:c r="B28" s="8" t="n">
        <x:f>IF(Dashboard!$E$5&gt;Dashboard!$H$5,"",SUMIFS(Data!$D$2:$D$508,Data!$B$2:$B$508,$A28,Data!$A$2:$A$508,"&gt;="&amp;Dashboard!$E$5,Data!$A$2:$A$508,"&lt;="&amp;Dashboard!$H$5))</x:f>
        <x:v>235</x:v>
      </x:c>
      <x:c r="C28" s="8" t="n">
        <x:f>IF(Dashboard!$E$5&gt;Dashboard!$H$5,"",SUMIFS(Data!$E$2:$E$508,Data!$B$2:$B$508,$A28,Data!$A$2:$A$508,"&gt;="&amp;Dashboard!$E$5,Data!$A$2:$A$508,"&lt;="&amp;Dashboard!$H$5))</x:f>
        <x:v>42892.98</x:v>
      </x:c>
      <x:c r="D28" s="8" t="n">
        <x:f>IF(Dashboard!$E$5&gt;Dashboard!$H$5,"",SUMIFS(Data!$G$2:$G$508,Data!$B$2:$B$508,$A28,Data!$A$2:$A$508,"&gt;="&amp;Dashboard!$E$5,Data!$A$2:$A$508,"&lt;="&amp;Dashboard!$H$5))</x:f>
        <x:v>235</x:v>
      </x:c>
      <x:c r="E28" s="8" t="n">
        <x:f>IF(Dashboard!$E$5&gt;Dashboard!$H$5,"",SUMIFS(Data!$H$2:$H$508,Data!$B$2:$B$508,$A28,Data!$A$2:$A$508,"&gt;="&amp;Dashboard!$E$5,Data!$A$2:$A$508,"&lt;="&amp;Dashboard!$H$5))</x:f>
        <x:v>7</x:v>
      </x:c>
      <x:c r="F28" s="16" t="n">
        <x:f>IF(OR(D28="",D28=0),"",E28/D28)</x:f>
        <x:v>0.029787234042553193</x:v>
      </x:c>
      <x:c r="G28" s="15" t="n">
        <x:f>IF(OR(D28="",D28=0),"",SUMIFS(Data!$I$2:$I$508,Data!$B$2:$B$508,$A28,Data!$A$2:$A$508,"&gt;="&amp;Dashboard!$E$5,Data!$A$2:$A$508,"&lt;="&amp;Dashboard!$H$5)/D28)</x:f>
        <x:v>19.602311613474896</x:v>
      </x:c>
      <x:c r="H28" s="9" t="n">
        <x:f>IF(OR(B28="",B28=0),"",C28/B28)</x:f>
        <x:v>182.5233191489362</x:v>
      </x:c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 t="str">
        <x:v>RR</x:v>
      </x:c>
      <x:c r="B29" s="8" t="n">
        <x:f>IF(Dashboard!$E$5&gt;Dashboard!$H$5,"",SUMIFS(Data!$D$2:$D$508,Data!$B$2:$B$508,$A29,Data!$A$2:$A$508,"&gt;="&amp;Dashboard!$E$5,Data!$A$2:$A$508,"&lt;="&amp;Dashboard!$H$5))</x:f>
        <x:v>40</x:v>
      </x:c>
      <x:c r="C29" s="8" t="n">
        <x:f>IF(Dashboard!$E$5&gt;Dashboard!$H$5,"",SUMIFS(Data!$E$2:$E$508,Data!$B$2:$B$508,$A29,Data!$A$2:$A$508,"&gt;="&amp;Dashboard!$E$5,Data!$A$2:$A$508,"&lt;="&amp;Dashboard!$H$5))</x:f>
        <x:v>7017.7699999999995</x:v>
      </x:c>
      <x:c r="D29" s="8" t="n">
        <x:f>IF(Dashboard!$E$5&gt;Dashboard!$H$5,"",SUMIFS(Data!$G$2:$G$508,Data!$B$2:$B$508,$A29,Data!$A$2:$A$508,"&gt;="&amp;Dashboard!$E$5,Data!$A$2:$A$508,"&lt;="&amp;Dashboard!$H$5))</x:f>
        <x:v>40</x:v>
      </x:c>
      <x:c r="E29" s="8" t="n">
        <x:f>IF(Dashboard!$E$5&gt;Dashboard!$H$5,"",SUMIFS(Data!$H$2:$H$508,Data!$B$2:$B$508,$A29,Data!$A$2:$A$508,"&gt;="&amp;Dashboard!$E$5,Data!$A$2:$A$508,"&lt;="&amp;Dashboard!$H$5))</x:f>
        <x:v>5</x:v>
      </x:c>
      <x:c r="F29" s="16" t="n">
        <x:f>IF(OR(D29="",D29=0),"",E29/D29)</x:f>
        <x:v>0.125</x:v>
      </x:c>
      <x:c r="G29" s="15" t="n">
        <x:f>IF(OR(D29="",D29=0),"",SUMIFS(Data!$I$2:$I$508,Data!$B$2:$B$508,$A29,Data!$A$2:$A$508,"&gt;="&amp;Dashboard!$E$5,Data!$A$2:$A$508,"&lt;="&amp;Dashboard!$H$5)/D29)</x:f>
        <x:v>29.907657986105</x:v>
      </x:c>
      <x:c r="H29" s="9" t="n">
        <x:f>IF(OR(B29="",B29=0),"",C29/B29)</x:f>
        <x:v>175.44424999999998</x:v>
      </x:c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2" t="str">
        <x:v>AM</x:v>
      </x:c>
      <x:c r="B30" s="8" t="n">
        <x:f>IF(Dashboard!$E$5&gt;Dashboard!$H$5,"",SUMIFS(Data!$D$2:$D$508,Data!$B$2:$B$508,$A30,Data!$A$2:$A$508,"&gt;="&amp;Dashboard!$E$5,Data!$A$2:$A$508,"&lt;="&amp;Dashboard!$H$5))</x:f>
        <x:v>141</x:v>
      </x:c>
      <x:c r="C30" s="8" t="n">
        <x:f>IF(Dashboard!$E$5&gt;Dashboard!$H$5,"",SUMIFS(Data!$E$2:$E$508,Data!$B$2:$B$508,$A30,Data!$A$2:$A$508,"&gt;="&amp;Dashboard!$E$5,Data!$A$2:$A$508,"&lt;="&amp;Dashboard!$H$5))</x:f>
        <x:v>21775.140000000003</x:v>
      </x:c>
      <x:c r="D30" s="8" t="n">
        <x:f>IF(Dashboard!$E$5&gt;Dashboard!$H$5,"",SUMIFS(Data!$G$2:$G$508,Data!$B$2:$B$508,$A30,Data!$A$2:$A$508,"&gt;="&amp;Dashboard!$E$5,Data!$A$2:$A$508,"&lt;="&amp;Dashboard!$H$5))</x:f>
        <x:v>141</x:v>
      </x:c>
      <x:c r="E30" s="8" t="n">
        <x:f>IF(Dashboard!$E$5&gt;Dashboard!$H$5,"",SUMIFS(Data!$H$2:$H$508,Data!$B$2:$B$508,$A30,Data!$A$2:$A$508,"&gt;="&amp;Dashboard!$E$5,Data!$A$2:$A$508,"&lt;="&amp;Dashboard!$H$5))</x:f>
        <x:v>4</x:v>
      </x:c>
      <x:c r="F30" s="16" t="n">
        <x:f>IF(OR(D30="",D30=0),"",E30/D30)</x:f>
        <x:v>0.028368794326241134</x:v>
      </x:c>
      <x:c r="G30" s="15" t="n">
        <x:f>IF(OR(D30="",D30=0),"",SUMIFS(Data!$I$2:$I$508,Data!$B$2:$B$508,$A30,Data!$A$2:$A$508,"&gt;="&amp;Dashboard!$E$5,Data!$A$2:$A$508,"&lt;="&amp;Dashboard!$H$5)/D30)</x:f>
        <x:v>26.620591262804258</x:v>
      </x:c>
      <x:c r="H30" s="9" t="n">
        <x:f>IF(OR(B30="",B30=0),"",C30/B30)</x:f>
        <x:v>154.4336170212766</x:v>
      </x:c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2" t="str">
        <x:v>AC</x:v>
      </x:c>
      <x:c r="B31" s="8" t="n">
        <x:f>IF(Dashboard!$E$5&gt;Dashboard!$H$5,"",SUMIFS(Data!$D$2:$D$508,Data!$B$2:$B$508,$A31,Data!$A$2:$A$508,"&gt;="&amp;Dashboard!$E$5,Data!$A$2:$A$508,"&lt;="&amp;Dashboard!$H$5))</x:f>
        <x:v>77</x:v>
      </x:c>
      <x:c r="C31" s="8" t="n">
        <x:f>IF(Dashboard!$E$5&gt;Dashboard!$H$5,"",SUMIFS(Data!$E$2:$E$508,Data!$B$2:$B$508,$A31,Data!$A$2:$A$508,"&gt;="&amp;Dashboard!$E$5,Data!$A$2:$A$508,"&lt;="&amp;Dashboard!$H$5))</x:f>
        <x:v>15484.279999999999</x:v>
      </x:c>
      <x:c r="D31" s="8" t="n">
        <x:f>IF(Dashboard!$E$5&gt;Dashboard!$H$5,"",SUMIFS(Data!$G$2:$G$508,Data!$B$2:$B$508,$A31,Data!$A$2:$A$508,"&gt;="&amp;Dashboard!$E$5,Data!$A$2:$A$508,"&lt;="&amp;Dashboard!$H$5))</x:f>
        <x:v>77</x:v>
      </x:c>
      <x:c r="E31" s="8" t="n">
        <x:f>IF(Dashboard!$E$5&gt;Dashboard!$H$5,"",SUMIFS(Data!$H$2:$H$508,Data!$B$2:$B$508,$A31,Data!$A$2:$A$508,"&gt;="&amp;Dashboard!$E$5,Data!$A$2:$A$508,"&lt;="&amp;Dashboard!$H$5))</x:f>
        <x:v>3</x:v>
      </x:c>
      <x:c r="F31" s="16" t="n">
        <x:f>IF(OR(D31="",D31=0),"",E31/D31)</x:f>
        <x:v>0.03896103896103896</x:v>
      </x:c>
      <x:c r="G31" s="15" t="n">
        <x:f>IF(OR(D31="",D31=0),"",SUMIFS(Data!$I$2:$I$508,Data!$B$2:$B$508,$A31,Data!$A$2:$A$508,"&gt;="&amp;Dashboard!$E$5,Data!$A$2:$A$508,"&lt;="&amp;Dashboard!$H$5)/D31)</x:f>
        <x:v>21.323775853777924</x:v>
      </x:c>
      <x:c r="H31" s="9" t="n">
        <x:f>IF(OR(B31="",B31=0),"",C31/B31)</x:f>
        <x:v>201.09454545454543</x:v>
      </x:c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 t="str">
        <x:v>AP</x:v>
      </x:c>
      <x:c r="B32" s="8" t="n">
        <x:f>IF(Dashboard!$E$5&gt;Dashboard!$H$5,"",SUMIFS(Data!$D$2:$D$508,Data!$B$2:$B$508,$A32,Data!$A$2:$A$508,"&gt;="&amp;Dashboard!$E$5,Data!$A$2:$A$508,"&lt;="&amp;Dashboard!$H$5))</x:f>
        <x:v>65</x:v>
      </x:c>
      <x:c r="C32" s="8" t="n">
        <x:f>IF(Dashboard!$E$5&gt;Dashboard!$H$5,"",SUMIFS(Data!$E$2:$E$508,Data!$B$2:$B$508,$A32,Data!$A$2:$A$508,"&gt;="&amp;Dashboard!$E$5,Data!$A$2:$A$508,"&lt;="&amp;Dashboard!$H$5))</x:f>
        <x:v>13180.81</x:v>
      </x:c>
      <x:c r="D32" s="8" t="n">
        <x:f>IF(Dashboard!$E$5&gt;Dashboard!$H$5,"",SUMIFS(Data!$G$2:$G$508,Data!$B$2:$B$508,$A32,Data!$A$2:$A$508,"&gt;="&amp;Dashboard!$E$5,Data!$A$2:$A$508,"&lt;="&amp;Dashboard!$H$5))</x:f>
        <x:v>65</x:v>
      </x:c>
      <x:c r="E32" s="8" t="n">
        <x:f>IF(Dashboard!$E$5&gt;Dashboard!$H$5,"",SUMIFS(Data!$H$2:$H$508,Data!$B$2:$B$508,$A32,Data!$A$2:$A$508,"&gt;="&amp;Dashboard!$E$5,Data!$A$2:$A$508,"&lt;="&amp;Dashboard!$H$5))</x:f>
        <x:v>2</x:v>
      </x:c>
      <x:c r="F32" s="16" t="n">
        <x:f>IF(OR(D32="",D32=0),"",E32/D32)</x:f>
        <x:v>0.03076923076923077</x:v>
      </x:c>
      <x:c r="G32" s="15" t="n">
        <x:f>IF(OR(D32="",D32=0),"",SUMIFS(Data!$I$2:$I$508,Data!$B$2:$B$508,$A32,Data!$A$2:$A$508,"&gt;="&amp;Dashboard!$E$5,Data!$A$2:$A$508,"&lt;="&amp;Dashboard!$H$5)/D32)</x:f>
        <x:v>27.509132834756926</x:v>
      </x:c>
      <x:c r="H32" s="9" t="n">
        <x:f>IF(OR(B32="",B32=0),"",C32/B32)</x:f>
        <x:v>202.7816923076923</x:v>
      </x:c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</x:sheetData>
  <x:conditionalFormatting sqref="F6:F32">
    <x:cfRule type="colorScale" priority="1">
      <x:colorScale>
        <x:cfvo type="min"/>
        <x:cfvo type="percentile" val="50"/>
        <x:cfvo type="max"/>
        <x:color rgb="FFEDF3F7"/>
        <x:color rgb="FFF8E1D4"/>
        <x:color rgb="FFDB7650"/>
      </x:colorScale>
    </x:cfRule>
  </x:conditionalFormatting>
  <x:pageMargins left="0.7" right="0.7" top="0.75" bottom="0.75" header="0.3" footer="0.3"/>
  <x:drawing xmlns:r="http://schemas.openxmlformats.org/officeDocument/2006/relationships" r:id="R89f5e1983d0644db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2" customHeight="1">
      <x:c r="A2" s="3" t="str">
        <x:v>Категории товаров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2"/>
      <x:c r="N2" s="2"/>
      <x:c r="O2" s="2"/>
      <x:c r="P2" s="2"/>
    </x:row>
    <x:row r="3" ht="22" customHeight="1">
      <x:c r="A3" s="2" t="str">
        <x:v>Весь базовый период: январь 2017–июль 2018. Фильтры Dashboard не применяются.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0" customHeight="1">
      <x:c r="A5" s="13" t="str">
        <x:v>Категория</x:v>
      </x:c>
      <x:c r="B5" s="13" t="str">
        <x:v>Позиций</x:v>
      </x:c>
      <x:c r="C5" s="13" t="str">
        <x:v>Заказов с категорией</x:v>
      </x:c>
      <x:c r="D5" s="13" t="str">
        <x:v>GMV BRL</x:v>
      </x:c>
      <x:c r="E5" s="13" t="str">
        <x:v>Доставка BRL</x:v>
      </x:c>
      <x:c r="F5" s="13" t="str">
        <x:v>Доля GMV</x:v>
      </x:c>
      <x:c r="G5" s="13" t="str">
        <x:v>Накопленная доля</x:v>
      </x:c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2" t="str">
        <x:v>health_beauty</x:v>
      </x:c>
      <x:c r="B6" s="8" t="n">
        <x:v>8587</x:v>
      </x:c>
      <x:c r="C6" s="8" t="n">
        <x:v>7845</x:v>
      </x:c>
      <x:c r="D6" s="8" t="n">
        <x:v>1110166.49</x:v>
      </x:c>
      <x:c r="E6" s="8" t="n">
        <x:v>161948.78</x:v>
      </x:c>
      <x:c r="F6" s="16" t="n">
        <x:f>D6/SUM($D$6:$D$79)</x:f>
        <x:v>0.0899470077598829</x:v>
      </x:c>
      <x:c r="G6" s="16" t="n">
        <x:f>SUM($F$6:F6)</x:f>
        <x:v>0.0899470077598829</x:v>
      </x:c>
      <x:c r="H6" s="2"/>
      <x:c r="I6" s="2"/>
      <x:c r="J6" s="2"/>
      <x:c r="K6" s="2"/>
      <x:c r="L6" s="2"/>
      <x:c r="M6" s="2"/>
      <x:c r="N6" s="2"/>
      <x:c r="O6" s="2"/>
      <x:c r="P6" s="2"/>
    </x:row>
    <x:row r="7" ht="22" customHeight="1">
      <x:c r="A7" s="2" t="str">
        <x:v>watches_gifts</x:v>
      </x:c>
      <x:c r="B7" s="8" t="n">
        <x:v>5444</x:v>
      </x:c>
      <x:c r="C7" s="8" t="n">
        <x:v>5104</x:v>
      </x:c>
      <x:c r="D7" s="8" t="n">
        <x:v>1093698.85</x:v>
      </x:c>
      <x:c r="E7" s="8" t="n">
        <x:v>91029.72</x:v>
      </x:c>
      <x:c r="F7" s="16" t="n">
        <x:f>D7/SUM($D$6:$D$79)</x:f>
        <x:v>0.08861278000556927</x:v>
      </x:c>
      <x:c r="G7" s="16" t="n">
        <x:f>SUM($F$6:F7)</x:f>
        <x:v>0.17855978776545217</x:v>
      </x:c>
      <x:c r="H7" s="2"/>
      <x:c r="I7" s="2"/>
      <x:c r="J7" s="2"/>
      <x:c r="K7" s="2"/>
      <x:c r="L7" s="2"/>
      <x:c r="M7" s="2"/>
      <x:c r="N7" s="2"/>
      <x:c r="O7" s="2"/>
      <x:c r="P7" s="2"/>
    </x:row>
    <x:row r="8" ht="22" customHeight="1">
      <x:c r="A8" s="2" t="str">
        <x:v>bed_bath_table</x:v>
      </x:c>
      <x:c r="B8" s="8" t="n">
        <x:v>10290</x:v>
      </x:c>
      <x:c r="C8" s="8" t="n">
        <x:v>8712</x:v>
      </x:c>
      <x:c r="D8" s="8" t="n">
        <x:v>962064.68</x:v>
      </x:c>
      <x:c r="E8" s="8" t="n">
        <x:v>187529.68</x:v>
      </x:c>
      <x:c r="F8" s="16" t="n">
        <x:f>D8/SUM($D$6:$D$79)</x:f>
        <x:v>0.07794762318710347</x:v>
      </x:c>
      <x:c r="G8" s="16" t="n">
        <x:f>SUM($F$6:F8)</x:f>
        <x:v>0.25650741095255564</x:v>
      </x:c>
      <x:c r="H8" s="2"/>
      <x:c r="I8" s="2"/>
      <x:c r="J8" s="2"/>
      <x:c r="K8" s="2"/>
      <x:c r="L8" s="2"/>
      <x:c r="M8" s="2"/>
      <x:c r="N8" s="2"/>
      <x:c r="O8" s="2"/>
      <x:c r="P8" s="2"/>
    </x:row>
    <x:row r="9" ht="22" customHeight="1">
      <x:c r="A9" s="2" t="str">
        <x:v>sports_leisure</x:v>
      </x:c>
      <x:c r="B9" s="8" t="n">
        <x:v>7943</x:v>
      </x:c>
      <x:c r="C9" s="8" t="n">
        <x:v>7081</x:v>
      </x:c>
      <x:c r="D9" s="8" t="n">
        <x:v>901980.22</x:v>
      </x:c>
      <x:c r="E9" s="8" t="n">
        <x:v>154115.48</x:v>
      </x:c>
      <x:c r="F9" s="16" t="n">
        <x:f>D9/SUM($D$6:$D$79)</x:f>
        <x:v>0.07307950886501796</x:v>
      </x:c>
      <x:c r="G9" s="16" t="n">
        <x:f>SUM($F$6:F9)</x:f>
        <x:v>0.3295869198175736</x:v>
      </x:c>
      <x:c r="H9" s="2"/>
      <x:c r="I9" s="2"/>
      <x:c r="J9" s="2"/>
      <x:c r="K9" s="2"/>
      <x:c r="L9" s="2"/>
      <x:c r="M9" s="2"/>
      <x:c r="N9" s="2"/>
      <x:c r="O9" s="2"/>
      <x:c r="P9" s="2"/>
    </x:row>
    <x:row r="10" ht="22" customHeight="1">
      <x:c r="A10" s="2" t="str">
        <x:v>computers_accessories</x:v>
      </x:c>
      <x:c r="B10" s="8" t="n">
        <x:v>7217</x:v>
      </x:c>
      <x:c r="C10" s="8" t="n">
        <x:v>6138</x:v>
      </x:c>
      <x:c r="D10" s="8" t="n">
        <x:v>848002.95</x:v>
      </x:c>
      <x:c r="E10" s="8" t="n">
        <x:v>135972.12</x:v>
      </x:c>
      <x:c r="F10" s="16" t="n">
        <x:f>D10/SUM($D$6:$D$79)</x:f>
        <x:v>0.06870620633131665</x:v>
      </x:c>
      <x:c r="G10" s="16" t="n">
        <x:f>SUM($F$6:F10)</x:f>
        <x:v>0.39829312614889023</x:v>
      </x:c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2" customHeight="1">
      <x:c r="A11" s="2" t="str">
        <x:v>furniture_decor</x:v>
      </x:c>
      <x:c r="B11" s="8" t="n">
        <x:v>7665</x:v>
      </x:c>
      <x:c r="C11" s="8" t="n">
        <x:v>5917</x:v>
      </x:c>
      <x:c r="D11" s="8" t="n">
        <x:v>665068.62</x:v>
      </x:c>
      <x:c r="E11" s="8" t="n">
        <x:v>156638.9</x:v>
      </x:c>
      <x:c r="F11" s="16" t="n">
        <x:f>D11/SUM($D$6:$D$79)</x:f>
        <x:v>0.05388464961142415</x:v>
      </x:c>
      <x:c r="G11" s="16" t="n">
        <x:f>SUM($F$6:F11)</x:f>
        <x:v>0.45217777576031437</x:v>
      </x:c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2" customHeight="1">
      <x:c r="A12" s="2" t="str">
        <x:v>cool_stuff</x:v>
      </x:c>
      <x:c r="B12" s="8" t="n">
        <x:v>3592</x:v>
      </x:c>
      <x:c r="C12" s="8" t="n">
        <x:v>3436</x:v>
      </x:c>
      <x:c r="D12" s="8" t="n">
        <x:v>593363.11</x:v>
      </x:c>
      <x:c r="E12" s="8" t="n">
        <x:v>78621.32</x:v>
      </x:c>
      <x:c r="F12" s="16" t="n">
        <x:f>D12/SUM($D$6:$D$79)</x:f>
        <x:v>0.04807498401397276</x:v>
      </x:c>
      <x:c r="G12" s="16" t="n">
        <x:f>SUM($F$6:F12)</x:f>
        <x:v>0.5002527597742872</x:v>
      </x:c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2" customHeight="1">
      <x:c r="A13" s="2" t="str">
        <x:v>housewares</x:v>
      </x:c>
      <x:c r="B13" s="8" t="n">
        <x:v>6167</x:v>
      </x:c>
      <x:c r="C13" s="8" t="n">
        <x:v>5185</x:v>
      </x:c>
      <x:c r="D13" s="8" t="n">
        <x:v>555578.26</x:v>
      </x:c>
      <x:c r="E13" s="8" t="n">
        <x:v>128711.64</x:v>
      </x:c>
      <x:c r="F13" s="16" t="n">
        <x:f>D13/SUM($D$6:$D$79)</x:f>
        <x:v>0.04501361058325787</x:v>
      </x:c>
      <x:c r="G13" s="16" t="n">
        <x:f>SUM($F$6:F13)</x:f>
        <x:v>0.5452663703575451</x:v>
      </x:c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2" customHeight="1">
      <x:c r="A14" s="2" t="str">
        <x:v>auto</x:v>
      </x:c>
      <x:c r="B14" s="8" t="n">
        <x:v>3762</x:v>
      </x:c>
      <x:c r="C14" s="8" t="n">
        <x:v>3457</x:v>
      </x:c>
      <x:c r="D14" s="8" t="n">
        <x:v>532805.81</x:v>
      </x:c>
      <x:c r="E14" s="8" t="n">
        <x:v>82653.32</x:v>
      </x:c>
      <x:c r="F14" s="16" t="n">
        <x:f>D14/SUM($D$6:$D$79)</x:f>
        <x:v>0.04316855963341201</x:v>
      </x:c>
      <x:c r="G14" s="16" t="n">
        <x:f>SUM($F$6:F14)</x:f>
        <x:v>0.5884349299909571</x:v>
      </x:c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2" customHeight="1">
      <x:c r="A15" s="2" t="str">
        <x:v>garden_tools</x:v>
      </x:c>
      <x:c r="B15" s="8" t="n">
        <x:v>4127</x:v>
      </x:c>
      <x:c r="C15" s="8" t="n">
        <x:v>3323</x:v>
      </x:c>
      <x:c r="D15" s="8" t="n">
        <x:v>452820.7</x:v>
      </x:c>
      <x:c r="E15" s="8" t="n">
        <x:v>92621.7</x:v>
      </x:c>
      <x:c r="F15" s="16" t="n">
        <x:f>D15/SUM($D$6:$D$79)</x:f>
        <x:v>0.036688071008822834</x:v>
      </x:c>
      <x:c r="G15" s="16" t="n">
        <x:f>SUM($F$6:F15)</x:f>
        <x:v>0.62512300099978</x:v>
      </x:c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2" customHeight="1">
      <x:c r="A16" s="2" t="str">
        <x:v>toys</x:v>
      </x:c>
      <x:c r="B16" s="8" t="n">
        <x:v>3841</x:v>
      </x:c>
      <x:c r="C16" s="8" t="n">
        <x:v>3631</x:v>
      </x:c>
      <x:c r="D16" s="8" t="n">
        <x:v>450256.23</x:v>
      </x:c>
      <x:c r="E16" s="8" t="n">
        <x:v>72021.75</x:v>
      </x:c>
      <x:c r="F16" s="16" t="n">
        <x:f>D16/SUM($D$6:$D$79)</x:f>
        <x:v>0.036480294603150575</x:v>
      </x:c>
      <x:c r="G16" s="16" t="n">
        <x:f>SUM($F$6:F16)</x:f>
        <x:v>0.6616032956029306</x:v>
      </x:c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2" customHeight="1">
      <x:c r="A17" s="2" t="str">
        <x:v>baby</x:v>
      </x:c>
      <x:c r="B17" s="8" t="n">
        <x:v>2759</x:v>
      </x:c>
      <x:c r="C17" s="8" t="n">
        <x:v>2599</x:v>
      </x:c>
      <x:c r="D17" s="8" t="n">
        <x:v>377784.1</x:v>
      </x:c>
      <x:c r="E17" s="8" t="n">
        <x:v>61470.81</x:v>
      </x:c>
      <x:c r="F17" s="16" t="n">
        <x:f>D17/SUM($D$6:$D$79)</x:f>
        <x:v>0.03060851654264972</x:v>
      </x:c>
      <x:c r="G17" s="16" t="n">
        <x:f>SUM($F$6:F17)</x:f>
        <x:v>0.6922118121455804</x:v>
      </x:c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2" customHeight="1">
      <x:c r="A18" s="2" t="str">
        <x:v>perfumery</x:v>
      </x:c>
      <x:c r="B18" s="8" t="n">
        <x:v>3093</x:v>
      </x:c>
      <x:c r="C18" s="8" t="n">
        <x:v>2857</x:v>
      </x:c>
      <x:c r="D18" s="8" t="n">
        <x:v>360475.81</x:v>
      </x:c>
      <x:c r="E18" s="8" t="n">
        <x:v>48977.65</x:v>
      </x:c>
      <x:c r="F18" s="16" t="n">
        <x:f>D18/SUM($D$6:$D$79)</x:f>
        <x:v>0.029206178326748156</x:v>
      </x:c>
      <x:c r="G18" s="16" t="n">
        <x:f>SUM($F$6:F18)</x:f>
        <x:v>0.7214179904723286</x:v>
      </x:c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2" customHeight="1">
      <x:c r="A19" s="2" t="str">
        <x:v>telephony</x:v>
      </x:c>
      <x:c r="B19" s="8" t="n">
        <x:v>4151</x:v>
      </x:c>
      <x:c r="C19" s="8" t="n">
        <x:v>3846</x:v>
      </x:c>
      <x:c r="D19" s="8" t="n">
        <x:v>273059.03</x:v>
      </x:c>
      <x:c r="E19" s="8" t="n">
        <x:v>64381.84</x:v>
      </x:c>
      <x:c r="F19" s="16" t="n">
        <x:f>D19/SUM($D$6:$D$79)</x:f>
        <x:v>0.022123566970856868</x:v>
      </x:c>
      <x:c r="G19" s="16" t="n">
        <x:f>SUM($F$6:F19)</x:f>
        <x:v>0.7435415574431854</x:v>
      </x:c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2" customHeight="1">
      <x:c r="A20" s="2" t="str">
        <x:v>office_furniture</x:v>
      </x:c>
      <x:c r="B20" s="8" t="n">
        <x:v>1632</x:v>
      </x:c>
      <x:c r="C20" s="8" t="n">
        <x:v>1224</x:v>
      </x:c>
      <x:c r="D20" s="8" t="n">
        <x:v>260094.56</x:v>
      </x:c>
      <x:c r="E20" s="8" t="n">
        <x:v>65142.58</x:v>
      </x:c>
      <x:c r="F20" s="16" t="n">
        <x:f>D20/SUM($D$6:$D$79)</x:f>
        <x:v>0.021073170211274642</x:v>
      </x:c>
      <x:c r="G20" s="16" t="n">
        <x:f>SUM($F$6:F20)</x:f>
        <x:v>0.76461472765446</x:v>
      </x:c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2" customHeight="1">
      <x:c r="A21" s="2" t="str">
        <x:v>computers</x:v>
      </x:c>
      <x:c r="B21" s="8" t="n">
        <x:v>187</x:v>
      </x:c>
      <x:c r="C21" s="8" t="n">
        <x:v>167</x:v>
      </x:c>
      <x:c r="D21" s="8" t="n">
        <x:v>209972.64</x:v>
      </x:c>
      <x:c r="E21" s="8" t="n">
        <x:v>9148.87</x:v>
      </x:c>
      <x:c r="F21" s="16" t="n">
        <x:f>D21/SUM($D$6:$D$79)</x:f>
        <x:v>0.017012232714250904</x:v>
      </x:c>
      <x:c r="G21" s="16" t="n">
        <x:f>SUM($F$6:F21)</x:f>
        <x:v>0.7816269603687109</x:v>
      </x:c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2" customHeight="1">
      <x:c r="A22" s="2" t="str">
        <x:v>stationery</x:v>
      </x:c>
      <x:c r="B22" s="8" t="n">
        <x:v>2297</x:v>
      </x:c>
      <x:c r="C22" s="8" t="n">
        <x:v>2106</x:v>
      </x:c>
      <x:c r="D22" s="8" t="n">
        <x:v>208343.04</x:v>
      </x:c>
      <x:c r="E22" s="8" t="n">
        <x:v>42382.89</x:v>
      </x:c>
      <x:c r="F22" s="16" t="n">
        <x:f>D22/SUM($D$6:$D$79)</x:f>
        <x:v>0.01688020058648824</x:v>
      </x:c>
      <x:c r="G22" s="16" t="n">
        <x:f>SUM($F$6:F22)</x:f>
        <x:v>0.7985071609551991</x:v>
      </x:c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2" t="str">
        <x:v>pet_shop</x:v>
      </x:c>
      <x:c r="B23" s="8" t="n">
        <x:v>1722</x:v>
      </x:c>
      <x:c r="C23" s="8" t="n">
        <x:v>1518</x:v>
      </x:c>
      <x:c r="D23" s="8" t="n">
        <x:v>186397.89</x:v>
      </x:c>
      <x:c r="E23" s="8" t="n">
        <x:v>34947.99</x:v>
      </x:c>
      <x:c r="F23" s="16" t="n">
        <x:f>D23/SUM($D$6:$D$79)</x:f>
        <x:v>0.015102178465372162</x:v>
      </x:c>
      <x:c r="G23" s="16" t="n">
        <x:f>SUM($F$6:F23)</x:f>
        <x:v>0.8136093394205713</x:v>
      </x:c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 t="str">
        <x:v>small_appliances</x:v>
      </x:c>
      <x:c r="B24" s="8" t="n">
        <x:v>635</x:v>
      </x:c>
      <x:c r="C24" s="8" t="n">
        <x:v>586</x:v>
      </x:c>
      <x:c r="D24" s="8" t="n">
        <x:v>176586.06</x:v>
      </x:c>
      <x:c r="E24" s="8" t="n">
        <x:v>14681.32</x:v>
      </x:c>
      <x:c r="F24" s="16" t="n">
        <x:f>D24/SUM($D$6:$D$79)</x:f>
        <x:v>0.0143072123435352</x:v>
      </x:c>
      <x:c r="G24" s="16" t="n">
        <x:f>SUM($F$6:F24)</x:f>
        <x:v>0.8279165517641065</x:v>
      </x:c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 t="str">
        <x:v>musical_instruments</x:v>
      </x:c>
      <x:c r="B25" s="8" t="n">
        <x:v>610</x:v>
      </x:c>
      <x:c r="C25" s="8" t="n">
        <x:v>572</x:v>
      </x:c>
      <x:c r="D25" s="8" t="n">
        <x:v>173796.4</x:v>
      </x:c>
      <x:c r="E25" s="8" t="n">
        <x:v>16685.27</x:v>
      </x:c>
      <x:c r="F25" s="16" t="n">
        <x:f>D25/SUM($D$6:$D$79)</x:f>
        <x:v>0.014081190776565155</x:v>
      </x:c>
      <x:c r="G25" s="16" t="n">
        <x:f>SUM($F$6:F25)</x:f>
        <x:v>0.8419977425406716</x:v>
      </x:c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2" t="str">
        <x:v>unknown</x:v>
      </x:c>
      <x:c r="B26" s="8" t="n">
        <x:v>1504</x:v>
      </x:c>
      <x:c r="C26" s="8" t="n">
        <x:v>1361</x:v>
      </x:c>
      <x:c r="D26" s="8" t="n">
        <x:v>168461.69</x:v>
      </x:c>
      <x:c r="E26" s="8" t="n">
        <x:v>26447.24</x:v>
      </x:c>
      <x:c r="F26" s="16" t="n">
        <x:f>D26/SUM($D$6:$D$79)</x:f>
        <x:v>0.013648966235391403</x:v>
      </x:c>
      <x:c r="G26" s="16" t="n">
        <x:f>SUM($F$6:F26)</x:f>
        <x:v>0.855646708776063</x:v>
      </x:c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 t="str">
        <x:v>electronics</x:v>
      </x:c>
      <x:c r="B27" s="8" t="n">
        <x:v>2609</x:v>
      </x:c>
      <x:c r="C27" s="8" t="n">
        <x:v>2402</x:v>
      </x:c>
      <x:c r="D27" s="8" t="n">
        <x:v>144196.37</x:v>
      </x:c>
      <x:c r="E27" s="8" t="n">
        <x:v>43482.33</x:v>
      </x:c>
      <x:c r="F27" s="16" t="n">
        <x:f>D27/SUM($D$6:$D$79)</x:f>
        <x:v>0.011682961184801161</x:v>
      </x:c>
      <x:c r="G27" s="16" t="n">
        <x:f>SUM($F$6:F27)</x:f>
        <x:v>0.8673296699608641</x:v>
      </x:c>
      <x:c r="H27" s="2"/>
      <x:c r="I27" s="2" t="str">
        <x:v>Заказы по категориям не складываются.</x:v>
      </x:c>
      <x:c r="J27" s="2"/>
      <x:c r="K27" s="2"/>
      <x:c r="L27" s="2"/>
      <x:c r="M27" s="2"/>
      <x:c r="N27" s="2"/>
      <x:c r="O27" s="2"/>
      <x:c r="P27" s="2"/>
    </x:row>
    <x:row r="28" ht="22" customHeight="1">
      <x:c r="A28" s="2" t="str">
        <x:v>fashion_bags_accessories</x:v>
      </x:c>
      <x:c r="B28" s="8" t="n">
        <x:v>1850</x:v>
      </x:c>
      <x:c r="C28" s="8" t="n">
        <x:v>1691</x:v>
      </x:c>
      <x:c r="D28" s="8" t="n">
        <x:v>140817.66</x:v>
      </x:c>
      <x:c r="E28" s="8" t="n">
        <x:v>28577.63</x:v>
      </x:c>
      <x:c r="F28" s="16" t="n">
        <x:f>D28/SUM($D$6:$D$79)</x:f>
        <x:v>0.011409214087112783</x:v>
      </x:c>
      <x:c r="G28" s="16" t="n">
        <x:f>SUM($F$6:F28)</x:f>
        <x:v>0.878738884047977</x:v>
      </x:c>
      <x:c r="H28" s="2"/>
      <x:c r="I28" s="2" t="str">
        <x:v>Один заказ может содержать несколько категорий.</x:v>
      </x:c>
      <x:c r="J28" s="2"/>
      <x:c r="K28" s="2"/>
      <x:c r="L28" s="2"/>
      <x:c r="M28" s="2"/>
      <x:c r="N28" s="2"/>
      <x:c r="O28" s="2"/>
      <x:c r="P28" s="2"/>
    </x:row>
    <x:row r="29" ht="22" customHeight="1">
      <x:c r="A29" s="2" t="str">
        <x:v>consoles_games</x:v>
      </x:c>
      <x:c r="B29" s="8" t="n">
        <x:v>1023</x:v>
      </x:c>
      <x:c r="C29" s="8" t="n">
        <x:v>958</x:v>
      </x:c>
      <x:c r="D29" s="8" t="n">
        <x:v>140002.7</x:v>
      </x:c>
      <x:c r="E29" s="8" t="n">
        <x:v>17977.1</x:v>
      </x:c>
      <x:c r="F29" s="16" t="n">
        <x:f>D29/SUM($D$6:$D$79)</x:f>
        <x:v>0.011343185059841393</x:v>
      </x:c>
      <x:c r="G29" s="16" t="n">
        <x:f>SUM($F$6:F29)</x:f>
        <x:v>0.8900820691078184</x:v>
      </x:c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 t="str">
        <x:v>luggage_accessories</x:v>
      </x:c>
      <x:c r="B30" s="8" t="n">
        <x:v>1013</x:v>
      </x:c>
      <x:c r="C30" s="8" t="n">
        <x:v>957</x:v>
      </x:c>
      <x:c r="D30" s="8" t="n">
        <x:v>132101.88</x:v>
      </x:c>
      <x:c r="E30" s="8" t="n">
        <x:v>28692.38</x:v>
      </x:c>
      <x:c r="F30" s="16" t="n">
        <x:f>D30/SUM($D$6:$D$79)</x:f>
        <x:v>0.010703051238247266</x:v>
      </x:c>
      <x:c r="G30" s="16" t="n">
        <x:f>SUM($F$6:F30)</x:f>
        <x:v>0.9007851203460656</x:v>
      </x:c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2" t="str">
        <x:v>construction_tools_construction</x:v>
      </x:c>
      <x:c r="B31" s="8" t="n">
        <x:v>754</x:v>
      </x:c>
      <x:c r="C31" s="8" t="n">
        <x:v>612</x:v>
      </x:c>
      <x:c r="D31" s="8" t="n">
        <x:v>119191.33</x:v>
      </x:c>
      <x:c r="E31" s="8" t="n">
        <x:v>17265.63</x:v>
      </x:c>
      <x:c r="F31" s="16" t="n">
        <x:f>D31/SUM($D$6:$D$79)</x:f>
        <x:v>0.009657023141115315</x:v>
      </x:c>
      <x:c r="G31" s="16" t="n">
        <x:f>SUM($F$6:F31)</x:f>
        <x:v>0.9104421434871809</x:v>
      </x:c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 t="str">
        <x:v>home_appliances_2</x:v>
      </x:c>
      <x:c r="B32" s="8" t="n">
        <x:v>217</x:v>
      </x:c>
      <x:c r="C32" s="8" t="n">
        <x:v>213</x:v>
      </x:c>
      <x:c r="D32" s="8" t="n">
        <x:v>100421.19</x:v>
      </x:c>
      <x:c r="E32" s="8" t="n">
        <x:v>9538.81</x:v>
      </x:c>
      <x:c r="F32" s="16" t="n">
        <x:f>D32/SUM($D$6:$D$79)</x:f>
        <x:v>0.00813624410171728</x:v>
      </x:c>
      <x:c r="G32" s="16" t="n">
        <x:f>SUM($F$6:F32)</x:f>
        <x:v>0.9185783875888982</x:v>
      </x:c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 t="str">
        <x:v>home_construction</x:v>
      </x:c>
      <x:c r="B33" s="8" t="n">
        <x:v>548</x:v>
      </x:c>
      <x:c r="C33" s="8" t="n">
        <x:v>439</x:v>
      </x:c>
      <x:c r="D33" s="8" t="n">
        <x:v>75121.41</x:v>
      </x:c>
      <x:c r="E33" s="8" t="n">
        <x:v>12363.95</x:v>
      </x:c>
      <x:c r="F33" s="16" t="n">
        <x:f>D33/SUM($D$6:$D$79)</x:f>
        <x:v>0.006086425873116873</x:v>
      </x:c>
      <x:c r="G33" s="16" t="n">
        <x:f>SUM($F$6:F33)</x:f>
        <x:v>0.9246648134620151</x:v>
      </x:c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2" t="str">
        <x:v>home_appliances</x:v>
      </x:c>
      <x:c r="B34" s="8" t="n">
        <x:v>691</x:v>
      </x:c>
      <x:c r="C34" s="8" t="n">
        <x:v>685</x:v>
      </x:c>
      <x:c r="D34" s="8" t="n">
        <x:v>72388.63</x:v>
      </x:c>
      <x:c r="E34" s="8" t="n">
        <x:v>13167.22</x:v>
      </x:c>
      <x:c r="F34" s="16" t="n">
        <x:f>D34/SUM($D$6:$D$79)</x:f>
        <x:v>0.005865012791313213</x:v>
      </x:c>
      <x:c r="G34" s="16" t="n">
        <x:f>SUM($F$6:F34)</x:f>
        <x:v>0.9305298262533284</x:v>
      </x:c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2" t="str">
        <x:v>agro_industry_and_commerce</x:v>
      </x:c>
      <x:c r="B35" s="8" t="n">
        <x:v>188</x:v>
      </x:c>
      <x:c r="C35" s="8" t="n">
        <x:v>163</x:v>
      </x:c>
      <x:c r="D35" s="8" t="n">
        <x:v>65545.01</x:v>
      </x:c>
      <x:c r="E35" s="8" t="n">
        <x:v>5114.55</x:v>
      </x:c>
      <x:c r="F35" s="16" t="n">
        <x:f>D35/SUM($D$6:$D$79)</x:f>
        <x:v>0.005310534569541548</x:v>
      </x:c>
      <x:c r="G35" s="16" t="n">
        <x:f>SUM($F$6:F35)</x:f>
        <x:v>0.9358403608228699</x:v>
      </x:c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2" t="str">
        <x:v>furniture_living_room</x:v>
      </x:c>
      <x:c r="B36" s="8" t="n">
        <x:v>455</x:v>
      </x:c>
      <x:c r="C36" s="8" t="n">
        <x:v>376</x:v>
      </x:c>
      <x:c r="D36" s="8" t="n">
        <x:v>62127.36</x:v>
      </x:c>
      <x:c r="E36" s="8" t="n">
        <x:v>16227.42</x:v>
      </x:c>
      <x:c r="F36" s="16" t="n">
        <x:f>D36/SUM($D$6:$D$79)</x:f>
        <x:v>0.005033632506797281</x:v>
      </x:c>
      <x:c r="G36" s="16" t="n">
        <x:f>SUM($F$6:F36)</x:f>
        <x:v>0.9408739933296673</x:v>
      </x:c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2" customHeight="1">
      <x:c r="A37" s="2" t="str">
        <x:v>home_confort</x:v>
      </x:c>
      <x:c r="B37" s="8" t="n">
        <x:v>413</x:v>
      </x:c>
      <x:c r="C37" s="8" t="n">
        <x:v>377</x:v>
      </x:c>
      <x:c r="D37" s="8" t="n">
        <x:v>55767.17</x:v>
      </x:c>
      <x:c r="E37" s="8" t="n">
        <x:v>8099.17</x:v>
      </x:c>
      <x:c r="F37" s="16" t="n">
        <x:f>D37/SUM($D$6:$D$79)</x:f>
        <x:v>0.004518322357880491</x:v>
      </x:c>
      <x:c r="G37" s="16" t="n">
        <x:f>SUM($F$6:F37)</x:f>
        <x:v>0.9453923156875478</x:v>
      </x:c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2" customHeight="1">
      <x:c r="A38" s="2" t="str">
        <x:v>fixed_telephony</x:v>
      </x:c>
      <x:c r="B38" s="8" t="n">
        <x:v>240</x:v>
      </x:c>
      <x:c r="C38" s="8" t="n">
        <x:v>197</x:v>
      </x:c>
      <x:c r="D38" s="8" t="n">
        <x:v>51886.16</x:v>
      </x:c>
      <x:c r="E38" s="8" t="n">
        <x:v>4264.91</x:v>
      </x:c>
      <x:c r="F38" s="16" t="n">
        <x:f>D38/SUM($D$6:$D$79)</x:f>
        <x:v>0.004203878317522019</x:v>
      </x:c>
      <x:c r="G38" s="16" t="n">
        <x:f>SUM($F$6:F38)</x:f>
        <x:v>0.9495961940050698</x:v>
      </x:c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2" customHeight="1">
      <x:c r="A39" s="2" t="str">
        <x:v>air_conditioning</x:v>
      </x:c>
      <x:c r="B39" s="8" t="n">
        <x:v>260</x:v>
      </x:c>
      <x:c r="C39" s="8" t="n">
        <x:v>225</x:v>
      </x:c>
      <x:c r="D39" s="8" t="n">
        <x:v>48417.37</x:v>
      </x:c>
      <x:c r="E39" s="8" t="n">
        <x:v>5925.75</x:v>
      </x:c>
      <x:c r="F39" s="16" t="n">
        <x:f>D39/SUM($D$6:$D$79)</x:f>
        <x:v>0.003922832831229775</x:v>
      </x:c>
      <x:c r="G39" s="16" t="n">
        <x:f>SUM($F$6:F39)</x:f>
        <x:v>0.9535190268362995</x:v>
      </x:c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2" t="str">
        <x:v>audio</x:v>
      </x:c>
      <x:c r="B40" s="8" t="n">
        <x:v>334</x:v>
      </x:c>
      <x:c r="C40" s="8" t="n">
        <x:v>322</x:v>
      </x:c>
      <x:c r="D40" s="8" t="n">
        <x:v>48344.21</x:v>
      </x:c>
      <x:c r="E40" s="8" t="n">
        <x:v>5258.98</x:v>
      </x:c>
      <x:c r="F40" s="16" t="n">
        <x:f>D40/SUM($D$6:$D$79)</x:f>
        <x:v>0.00391690532112477</x:v>
      </x:c>
      <x:c r="G40" s="16" t="n">
        <x:f>SUM($F$6:F40)</x:f>
        <x:v>0.9574359321574243</x:v>
      </x:c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2" customHeight="1">
      <x:c r="A41" s="2" t="str">
        <x:v>books_general_interest</x:v>
      </x:c>
      <x:c r="B41" s="8" t="n">
        <x:v>501</x:v>
      </x:c>
      <x:c r="C41" s="8" t="n">
        <x:v>462</x:v>
      </x:c>
      <x:c r="D41" s="8" t="n">
        <x:v>43737.37</x:v>
      </x:c>
      <x:c r="E41" s="8" t="n">
        <x:v>8368.18</x:v>
      </x:c>
      <x:c r="F41" s="16" t="n">
        <x:f>D41/SUM($D$6:$D$79)</x:f>
        <x:v>0.0035436536719702914</x:v>
      </x:c>
      <x:c r="G41" s="16" t="n">
        <x:f>SUM($F$6:F41)</x:f>
        <x:v>0.9609795858293946</x:v>
      </x:c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2" t="str">
        <x:v>small_appliances_home_oven_and_coffee</x:v>
      </x:c>
      <x:c r="B42" s="8" t="n">
        <x:v>56</x:v>
      </x:c>
      <x:c r="C42" s="8" t="n">
        <x:v>55</x:v>
      </x:c>
      <x:c r="D42" s="8" t="n">
        <x:v>43592.84</x:v>
      </x:c>
      <x:c r="E42" s="8" t="n">
        <x:v>2261.93</x:v>
      </x:c>
      <x:c r="F42" s="16" t="n">
        <x:f>D42/SUM($D$6:$D$79)</x:f>
        <x:v>0.0035319436796865788</x:v>
      </x:c>
      <x:c r="G42" s="16" t="n">
        <x:f>SUM($F$6:F42)</x:f>
        <x:v>0.9645115295090811</x:v>
      </x:c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2" customHeight="1">
      <x:c r="A43" s="2" t="str">
        <x:v>kitchen_dining_laundry_garden_furniture</x:v>
      </x:c>
      <x:c r="B43" s="8" t="n">
        <x:v>254</x:v>
      </x:c>
      <x:c r="C43" s="8" t="n">
        <x:v>222</x:v>
      </x:c>
      <x:c r="D43" s="8" t="n">
        <x:v>43520.51</x:v>
      </x:c>
      <x:c r="E43" s="8" t="n">
        <x:v>10962.9</x:v>
      </x:c>
      <x:c r="F43" s="16" t="n">
        <x:f>D43/SUM($D$6:$D$79)</x:f>
        <x:v>0.003526083417167511</x:v>
      </x:c>
      <x:c r="G43" s="16" t="n">
        <x:f>SUM($F$6:F43)</x:f>
        <x:v>0.9680376129262487</x:v>
      </x:c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2" customHeight="1">
      <x:c r="A44" s="2" t="str">
        <x:v>industry_commerce_and_business</x:v>
      </x:c>
      <x:c r="B44" s="8" t="n">
        <x:v>251</x:v>
      </x:c>
      <x:c r="C44" s="8" t="n">
        <x:v>220</x:v>
      </x:c>
      <x:c r="D44" s="8" t="n">
        <x:v>35774.52</x:v>
      </x:c>
      <x:c r="E44" s="8" t="n">
        <x:v>7127.21</x:v>
      </x:c>
      <x:c r="F44" s="16" t="n">
        <x:f>D44/SUM($D$6:$D$79)</x:f>
        <x:v>0.0028984941060922185</x:v>
      </x:c>
      <x:c r="G44" s="16" t="n">
        <x:f>SUM($F$6:F44)</x:f>
        <x:v>0.9709361070323409</x:v>
      </x:c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2" customHeight="1">
      <x:c r="A45" s="2" t="str">
        <x:v>construction_tools_safety</x:v>
      </x:c>
      <x:c r="B45" s="8" t="n">
        <x:v>158</x:v>
      </x:c>
      <x:c r="C45" s="8" t="n">
        <x:v>138</x:v>
      </x:c>
      <x:c r="D45" s="8" t="n">
        <x:v>34803</x:v>
      </x:c>
      <x:c r="E45" s="8" t="n">
        <x:v>3214.34</x:v>
      </x:c>
      <x:c r="F45" s="16" t="n">
        <x:f>D45/SUM($D$6:$D$79)</x:f>
        <x:v>0.002819780401646968</x:v>
      </x:c>
      <x:c r="G45" s="16" t="n">
        <x:f>SUM($F$6:F45)</x:f>
        <x:v>0.9737558874339879</x:v>
      </x:c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2" customHeight="1">
      <x:c r="A46" s="2" t="str">
        <x:v>construction_tools_lights</x:v>
      </x:c>
      <x:c r="B46" s="8" t="n">
        <x:v>239</x:v>
      </x:c>
      <x:c r="C46" s="8" t="n">
        <x:v>186</x:v>
      </x:c>
      <x:c r="D46" s="8" t="n">
        <x:v>31744.47</x:v>
      </x:c>
      <x:c r="E46" s="8" t="n">
        <x:v>5814.08</x:v>
      </x:c>
      <x:c r="F46" s="16" t="n">
        <x:f>D46/SUM($D$6:$D$79)</x:f>
        <x:v>0.002571974667892714</x:v>
      </x:c>
      <x:c r="G46" s="16" t="n">
        <x:f>SUM($F$6:F46)</x:f>
        <x:v>0.9763278621018806</x:v>
      </x:c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2" customHeight="1">
      <x:c r="A47" s="2" t="str">
        <x:v>market_place</x:v>
      </x:c>
      <x:c r="B47" s="8" t="n">
        <x:v>286</x:v>
      </x:c>
      <x:c r="C47" s="8" t="n">
        <x:v>261</x:v>
      </x:c>
      <x:c r="D47" s="8" t="n">
        <x:v>25931.21</x:v>
      </x:c>
      <x:c r="E47" s="8" t="n">
        <x:v>4933.25</x:v>
      </x:c>
      <x:c r="F47" s="16" t="n">
        <x:f>D47/SUM($D$6:$D$79)</x:f>
        <x:v>0.002100977437260922</x:v>
      </x:c>
      <x:c r="G47" s="16" t="n">
        <x:f>SUM($F$6:F47)</x:f>
        <x:v>0.9784288395391415</x:v>
      </x:c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2" customHeight="1">
      <x:c r="A48" s="2" t="str">
        <x:v>fashion_shoes</x:v>
      </x:c>
      <x:c r="B48" s="8" t="n">
        <x:v>253</x:v>
      </x:c>
      <x:c r="C48" s="8" t="n">
        <x:v>231</x:v>
      </x:c>
      <x:c r="D48" s="8" t="n">
        <x:v>22500.17</x:v>
      </x:c>
      <x:c r="E48" s="8" t="n">
        <x:v>4696.5</x:v>
      </x:c>
      <x:c r="F48" s="16" t="n">
        <x:f>D48/SUM($D$6:$D$79)</x:f>
        <x:v>0.0018229905008109947</x:v>
      </x:c>
      <x:c r="G48" s="16" t="n">
        <x:f>SUM($F$6:F48)</x:f>
        <x:v>0.9802518300399525</x:v>
      </x:c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2" customHeight="1">
      <x:c r="A49" s="2" t="str">
        <x:v>art</x:v>
      </x:c>
      <x:c r="B49" s="8" t="n">
        <x:v>179</x:v>
      </x:c>
      <x:c r="C49" s="8" t="n">
        <x:v>177</x:v>
      </x:c>
      <x:c r="D49" s="8" t="n">
        <x:v>22175.91</x:v>
      </x:c>
      <x:c r="E49" s="8" t="n">
        <x:v>3533.72</x:v>
      </x:c>
      <x:c r="F49" s="16" t="n">
        <x:f>D49/SUM($D$6:$D$79)</x:f>
        <x:v>0.0017967185704303367</x:v>
      </x:c>
      <x:c r="G49" s="16" t="n">
        <x:f>SUM($F$6:F49)</x:f>
        <x:v>0.9820485486103828</x:v>
      </x:c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2" customHeight="1">
      <x:c r="A50" s="2" t="str">
        <x:v>costruction_tools_garden</x:v>
      </x:c>
      <x:c r="B50" s="8" t="n">
        <x:v>209</x:v>
      </x:c>
      <x:c r="C50" s="8" t="n">
        <x:v>171</x:v>
      </x:c>
      <x:c r="D50" s="8" t="n">
        <x:v>21407.52</x:v>
      </x:c>
      <x:c r="E50" s="8" t="n">
        <x:v>4581.93</x:v>
      </x:c>
      <x:c r="F50" s="16" t="n">
        <x:f>D50/SUM($D$6:$D$79)</x:f>
        <x:v>0.0017344626998783293</x:v>
      </x:c>
      <x:c r="G50" s="16" t="n">
        <x:f>SUM($F$6:F50)</x:f>
        <x:v>0.9837830113102611</x:v>
      </x:c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2" customHeight="1">
      <x:c r="A51" s="2" t="str">
        <x:v>food</x:v>
      </x:c>
      <x:c r="B51" s="8" t="n">
        <x:v>383</x:v>
      </x:c>
      <x:c r="C51" s="8" t="n">
        <x:v>338</x:v>
      </x:c>
      <x:c r="D51" s="8" t="n">
        <x:v>20477.07</x:v>
      </x:c>
      <x:c r="E51" s="8" t="n">
        <x:v>5650.25</x:v>
      </x:c>
      <x:c r="F51" s="16" t="n">
        <x:f>D51/SUM($D$6:$D$79)</x:f>
        <x:v>0.001659076535619144</x:v>
      </x:c>
      <x:c r="G51" s="16" t="n">
        <x:f>SUM($F$6:F51)</x:f>
        <x:v>0.9854420878458803</x:v>
      </x:c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2" customHeight="1">
      <x:c r="A52" s="2" t="str">
        <x:v>drinks</x:v>
      </x:c>
      <x:c r="B52" s="8" t="n">
        <x:v>334</x:v>
      </x:c>
      <x:c r="C52" s="8" t="n">
        <x:v>263</x:v>
      </x:c>
      <x:c r="D52" s="8" t="n">
        <x:v>20106.58</x:v>
      </x:c>
      <x:c r="E52" s="8" t="n">
        <x:v>5038.85</x:v>
      </x:c>
      <x:c r="F52" s="16" t="n">
        <x:f>D52/SUM($D$6:$D$79)</x:f>
        <x:v>0.0016290589957229807</x:v>
      </x:c>
      <x:c r="G52" s="16" t="n">
        <x:f>SUM($F$6:F52)</x:f>
        <x:v>0.9870711468416032</x:v>
      </x:c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2" customHeight="1">
      <x:c r="A53" s="2" t="str">
        <x:v>signaling_and_security</x:v>
      </x:c>
      <x:c r="B53" s="8" t="n">
        <x:v>175</x:v>
      </x:c>
      <x:c r="C53" s="8" t="n">
        <x:v>122</x:v>
      </x:c>
      <x:c r="D53" s="8" t="n">
        <x:v>19489.46</x:v>
      </x:c>
      <x:c r="E53" s="8" t="n">
        <x:v>6144.46</x:v>
      </x:c>
      <x:c r="F53" s="16" t="n">
        <x:f>D53/SUM($D$6:$D$79)</x:f>
        <x:v>0.0015790592002609691</x:v>
      </x:c>
      <x:c r="G53" s="16" t="n">
        <x:f>SUM($F$6:F53)</x:f>
        <x:v>0.9886502060418643</x:v>
      </x:c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2" customHeight="1">
      <x:c r="A54" s="2" t="str">
        <x:v>books_technical</x:v>
      </x:c>
      <x:c r="B54" s="8" t="n">
        <x:v>234</x:v>
      </x:c>
      <x:c r="C54" s="8" t="n">
        <x:v>228</x:v>
      </x:c>
      <x:c r="D54" s="8" t="n">
        <x:v>17218.44</x:v>
      </x:c>
      <x:c r="E54" s="8" t="n">
        <x:v>3821.25</x:v>
      </x:c>
      <x:c r="F54" s="16" t="n">
        <x:f>D54/SUM($D$6:$D$79)</x:f>
        <x:v>0.001395058462170911</x:v>
      </x:c>
      <x:c r="G54" s="16" t="n">
        <x:f>SUM($F$6:F54)</x:f>
        <x:v>0.9900452645040352</x:v>
      </x:c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2" customHeight="1">
      <x:c r="A55" s="2" t="str">
        <x:v>furniture_bedroom</x:v>
      </x:c>
      <x:c r="B55" s="8" t="n">
        <x:v>91</x:v>
      </x:c>
      <x:c r="C55" s="8" t="n">
        <x:v>80</x:v>
      </x:c>
      <x:c r="D55" s="8" t="n">
        <x:v>16854.8</x:v>
      </x:c>
      <x:c r="E55" s="8" t="n">
        <x:v>3704.54</x:v>
      </x:c>
      <x:c r="F55" s="16" t="n">
        <x:f>D55/SUM($D$6:$D$79)</x:f>
        <x:v>0.0013655959174116977</x:v>
      </x:c>
      <x:c r="G55" s="16" t="n">
        <x:f>SUM($F$6:F55)</x:f>
        <x:v>0.9914108604214469</x:v>
      </x:c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2" customHeight="1">
      <x:c r="A56" s="2" t="str">
        <x:v>costruction_tools_tools</x:v>
      </x:c>
      <x:c r="B56" s="8" t="n">
        <x:v>89</x:v>
      </x:c>
      <x:c r="C56" s="8" t="n">
        <x:v>83</x:v>
      </x:c>
      <x:c r="D56" s="8" t="n">
        <x:v>14648.18</x:v>
      </x:c>
      <x:c r="E56" s="8" t="n">
        <x:v>1788.95</x:v>
      </x:c>
      <x:c r="F56" s="16" t="n">
        <x:f>D56/SUM($D$6:$D$79)</x:f>
        <x:v>0.001186812943820851</x:v>
      </x:c>
      <x:c r="G56" s="16" t="n">
        <x:f>SUM($F$6:F56)</x:f>
        <x:v>0.9925976733652677</x:v>
      </x:c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2" customHeight="1">
      <x:c r="A57" s="2" t="str">
        <x:v>food_drink</x:v>
      </x:c>
      <x:c r="B57" s="8" t="n">
        <x:v>248</x:v>
      </x:c>
      <x:c r="C57" s="8" t="n">
        <x:v>205</x:v>
      </x:c>
      <x:c r="D57" s="8" t="n">
        <x:v>13914.27</x:v>
      </x:c>
      <x:c r="E57" s="8" t="n">
        <x:v>4083.11</x:v>
      </x:c>
      <x:c r="F57" s="16" t="n">
        <x:f>D57/SUM($D$6:$D$79)</x:f>
        <x:v>0.0011273506838268069</x:v>
      </x:c>
      <x:c r="G57" s="16" t="n">
        <x:f>SUM($F$6:F57)</x:f>
        <x:v>0.9937250240490946</x:v>
      </x:c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2" customHeight="1">
      <x:c r="A58" s="2" t="str">
        <x:v>fashion_male_clothing</x:v>
      </x:c>
      <x:c r="B58" s="8" t="n">
        <x:v>121</x:v>
      </x:c>
      <x:c r="C58" s="8" t="n">
        <x:v>102</x:v>
      </x:c>
      <x:c r="D58" s="8" t="n">
        <x:v>10045.74</x:v>
      </x:c>
      <x:c r="E58" s="8" t="n">
        <x:v>1966.37</x:v>
      </x:c>
      <x:c r="F58" s="16" t="n">
        <x:f>D58/SUM($D$6:$D$79)</x:f>
        <x:v>0.0008139177878930268</x:v>
      </x:c>
      <x:c r="G58" s="16" t="n">
        <x:f>SUM($F$6:F58)</x:f>
        <x:v>0.9945389418369877</x:v>
      </x:c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2" customHeight="1">
      <x:c r="A59" s="2" t="str">
        <x:v>fashion_underwear_beach</x:v>
      </x:c>
      <x:c r="B59" s="8" t="n">
        <x:v>126</x:v>
      </x:c>
      <x:c r="C59" s="8" t="n">
        <x:v>116</x:v>
      </x:c>
      <x:c r="D59" s="8" t="n">
        <x:v>9145.95</x:v>
      </x:c>
      <x:c r="E59" s="8" t="n">
        <x:v>1840.29</x:v>
      </x:c>
      <x:c r="F59" s="16" t="n">
        <x:f>D59/SUM($D$6:$D$79)</x:f>
        <x:v>0.0007410157332541186</x:v>
      </x:c>
      <x:c r="G59" s="16" t="n">
        <x:f>SUM($F$6:F59)</x:f>
        <x:v>0.9952799575702418</x:v>
      </x:c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2" customHeight="1">
      <x:c r="A60" s="2" t="str">
        <x:v>christmas_supplies</x:v>
      </x:c>
      <x:c r="B60" s="8" t="n">
        <x:v>140</x:v>
      </x:c>
      <x:c r="C60" s="8" t="n">
        <x:v>115</x:v>
      </x:c>
      <x:c r="D60" s="8" t="n">
        <x:v>8208.47</x:v>
      </x:c>
      <x:c r="E60" s="8" t="n">
        <x:v>2991.92</x:v>
      </x:c>
      <x:c r="F60" s="16" t="n">
        <x:f>D60/SUM($D$6:$D$79)</x:f>
        <x:v>0.0006650599900441653</x:v>
      </x:c>
      <x:c r="G60" s="16" t="n">
        <x:f>SUM($F$6:F60)</x:f>
        <x:v>0.995945017560286</x:v>
      </x:c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2" customHeight="1">
      <x:c r="A61" s="2" t="str">
        <x:v>tablets_printing_image</x:v>
      </x:c>
      <x:c r="B61" s="8" t="n">
        <x:v>83</x:v>
      </x:c>
      <x:c r="C61" s="8" t="n">
        <x:v>79</x:v>
      </x:c>
      <x:c r="D61" s="8" t="n">
        <x:v>7528.41</x:v>
      </x:c>
      <x:c r="E61" s="8" t="n">
        <x:v>1226.2</x:v>
      </x:c>
      <x:c r="F61" s="16" t="n">
        <x:f>D61/SUM($D$6:$D$79)</x:f>
        <x:v>0.0006099607210172413</x:v>
      </x:c>
      <x:c r="G61" s="16" t="n">
        <x:f>SUM($F$6:F61)</x:f>
        <x:v>0.9965549782813032</x:v>
      </x:c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2" customHeight="1">
      <x:c r="A62" s="2" t="str">
        <x:v>cine_photo</x:v>
      </x:c>
      <x:c r="B62" s="8" t="n">
        <x:v>61</x:v>
      </x:c>
      <x:c r="C62" s="8" t="n">
        <x:v>55</x:v>
      </x:c>
      <x:c r="D62" s="8" t="n">
        <x:v>6079.18</x:v>
      </x:c>
      <x:c r="E62" s="8" t="n">
        <x:v>1102.59</x:v>
      </x:c>
      <x:c r="F62" s="16" t="n">
        <x:f>D62/SUM($D$6:$D$79)</x:f>
        <x:v>0.0004925423849117666</x:v>
      </x:c>
      <x:c r="G62" s="16" t="n">
        <x:f>SUM($F$6:F62)</x:f>
        <x:v>0.997047520666215</x:v>
      </x:c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2" customHeight="1">
      <x:c r="A63" s="2" t="str">
        <x:v>music</x:v>
      </x:c>
      <x:c r="B63" s="8" t="n">
        <x:v>32</x:v>
      </x:c>
      <x:c r="C63" s="8" t="n">
        <x:v>32</x:v>
      </x:c>
      <x:c r="D63" s="8" t="n">
        <x:v>5536.54</x:v>
      </x:c>
      <x:c r="E63" s="8" t="n">
        <x:v>605.71</x:v>
      </x:c>
      <x:c r="F63" s="16" t="n">
        <x:f>D63/SUM($D$6:$D$79)</x:f>
        <x:v>0.00044857704752275675</x:v>
      </x:c>
      <x:c r="G63" s="16" t="n">
        <x:f>SUM($F$6:F63)</x:f>
        <x:v>0.9974960977137378</x:v>
      </x:c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2" customHeight="1">
      <x:c r="A64" s="2" t="str">
        <x:v>dvds_blu_ray</x:v>
      </x:c>
      <x:c r="B64" s="8" t="n">
        <x:v>60</x:v>
      </x:c>
      <x:c r="C64" s="8" t="n">
        <x:v>55</x:v>
      </x:c>
      <x:c r="D64" s="8" t="n">
        <x:v>4533.69</x:v>
      </x:c>
      <x:c r="E64" s="8" t="n">
        <x:v>1219.86</x:v>
      </x:c>
      <x:c r="F64" s="16" t="n">
        <x:f>D64/SUM($D$6:$D$79)</x:f>
        <x:v>0.0003673249492613522</x:v>
      </x:c>
      <x:c r="G64" s="16" t="n">
        <x:f>SUM($F$6:F64)</x:f>
        <x:v>0.9978634226629992</x:v>
      </x:c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2" customHeight="1">
      <x:c r="A65" s="2" t="str">
        <x:v>furniture_mattress_and_upholstery</x:v>
      </x:c>
      <x:c r="B65" s="8" t="n">
        <x:v>37</x:v>
      </x:c>
      <x:c r="C65" s="8" t="n">
        <x:v>37</x:v>
      </x:c>
      <x:c r="D65" s="8" t="n">
        <x:v>4323.38</x:v>
      </x:c>
      <x:c r="E65" s="8" t="n">
        <x:v>1581.37</x:v>
      </x:c>
      <x:c r="F65" s="16" t="n">
        <x:f>D65/SUM($D$6:$D$79)</x:f>
        <x:v>0.0003502853832391595</x:v>
      </x:c>
      <x:c r="G65" s="16" t="n">
        <x:f>SUM($F$6:F65)</x:f>
        <x:v>0.9982137080462383</x:v>
      </x:c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2" customHeight="1">
      <x:c r="A66" s="2" t="str">
        <x:v>books_imported</x:v>
      </x:c>
      <x:c r="B66" s="8" t="n">
        <x:v>56</x:v>
      </x:c>
      <x:c r="C66" s="8" t="n">
        <x:v>49</x:v>
      </x:c>
      <x:c r="D66" s="8" t="n">
        <x:v>3669.86</x:v>
      </x:c>
      <x:c r="E66" s="8" t="n">
        <x:v>676.12</x:v>
      </x:c>
      <x:c r="F66" s="16" t="n">
        <x:f>D66/SUM($D$6:$D$79)</x:f>
        <x:v>0.0002973364165384634</x:v>
      </x:c>
      <x:c r="G66" s="16" t="n">
        <x:f>SUM($F$6:F66)</x:f>
        <x:v>0.9985110444627768</x:v>
      </x:c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2" customHeight="1">
      <x:c r="A67" s="2" t="str">
        <x:v>party_supplies</x:v>
      </x:c>
      <x:c r="B67" s="8" t="n">
        <x:v>28</x:v>
      </x:c>
      <x:c r="C67" s="8" t="n">
        <x:v>24</x:v>
      </x:c>
      <x:c r="D67" s="8" t="n">
        <x:v>3179.9</x:v>
      </x:c>
      <x:c r="E67" s="8" t="n">
        <x:v>515.06</x:v>
      </x:c>
      <x:c r="F67" s="16" t="n">
        <x:f>D67/SUM($D$6:$D$79)</x:f>
        <x:v>0.000257639275326759</x:v>
      </x:c>
      <x:c r="G67" s="16" t="n">
        <x:f>SUM($F$6:F67)</x:f>
        <x:v>0.9987686837381036</x:v>
      </x:c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2" customHeight="1">
      <x:c r="A68" s="2" t="str">
        <x:v>fashio_female_clothing</x:v>
      </x:c>
      <x:c r="B68" s="8" t="n">
        <x:v>41</x:v>
      </x:c>
      <x:c r="C68" s="8" t="n">
        <x:v>33</x:v>
      </x:c>
      <x:c r="D68" s="8" t="n">
        <x:v>2450.07</x:v>
      </x:c>
      <x:c r="E68" s="8" t="n">
        <x:v>529.61</x:v>
      </x:c>
      <x:c r="F68" s="16" t="n">
        <x:f>D68/SUM($D$6:$D$79)</x:f>
        <x:v>0.00019850758177924853</x:v>
      </x:c>
      <x:c r="G68" s="16" t="n">
        <x:f>SUM($F$6:F68)</x:f>
        <x:v>0.9989671913198828</x:v>
      </x:c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2" customHeight="1">
      <x:c r="A69" s="2" t="str">
        <x:v>portateis_cozinha_e_preparadores_de_alimentos</x:v>
      </x:c>
      <x:c r="B69" s="8" t="n">
        <x:v>10</x:v>
      </x:c>
      <x:c r="C69" s="8" t="n">
        <x:v>9</x:v>
      </x:c>
      <x:c r="D69" s="8" t="n">
        <x:v>2130.03</x:v>
      </x:c>
      <x:c r="E69" s="8" t="n">
        <x:v>192.46</x:v>
      </x:c>
      <x:c r="F69" s="16" t="n">
        <x:f>D69/SUM($D$6:$D$79)</x:f>
        <x:v>0.00017257756081142693</x:v>
      </x:c>
      <x:c r="G69" s="16" t="n">
        <x:f>SUM($F$6:F69)</x:f>
        <x:v>0.9991397688806942</x:v>
      </x:c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2" customHeight="1">
      <x:c r="A70" s="2" t="str">
        <x:v>la_cuisine</x:v>
      </x:c>
      <x:c r="B70" s="8" t="n">
        <x:v>14</x:v>
      </x:c>
      <x:c r="C70" s="8" t="n">
        <x:v>13</x:v>
      </x:c>
      <x:c r="D70" s="8" t="n">
        <x:v>2054.99</x:v>
      </x:c>
      <x:c r="E70" s="8" t="n">
        <x:v>333.55</x:v>
      </x:c>
      <x:c r="F70" s="16" t="n">
        <x:f>D70/SUM($D$6:$D$79)</x:f>
        <x:v>0.00016649773087321502</x:v>
      </x:c>
      <x:c r="G70" s="16" t="n">
        <x:f>SUM($F$6:F70)</x:f>
        <x:v>0.9993062666115674</x:v>
      </x:c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2" customHeight="1">
      <x:c r="A71" s="2" t="str">
        <x:v>fashion_sport</x:v>
      </x:c>
      <x:c r="B71" s="8" t="n">
        <x:v>28</x:v>
      </x:c>
      <x:c r="C71" s="8" t="n">
        <x:v>25</x:v>
      </x:c>
      <x:c r="D71" s="8" t="n">
        <x:v>2024.62</x:v>
      </x:c>
      <x:c r="E71" s="8" t="n">
        <x:v>549.88</x:v>
      </x:c>
      <x:c r="F71" s="16" t="n">
        <x:f>D71/SUM($D$6:$D$79)</x:f>
        <x:v>0.00016403711739742218</x:v>
      </x:c>
      <x:c r="G71" s="16" t="n">
        <x:f>SUM($F$6:F71)</x:f>
        <x:v>0.9994703037289648</x:v>
      </x:c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2" customHeight="1">
      <x:c r="A72" s="2" t="str">
        <x:v>diapers_and_hygiene</x:v>
      </x:c>
      <x:c r="B72" s="8" t="n">
        <x:v>33</x:v>
      </x:c>
      <x:c r="C72" s="8" t="n">
        <x:v>21</x:v>
      </x:c>
      <x:c r="D72" s="8" t="n">
        <x:v>1134</x:v>
      </x:c>
      <x:c r="E72" s="8" t="n">
        <x:v>484.27</x:v>
      </x:c>
      <x:c r="F72" s="16" t="n">
        <x:f>D72/SUM($D$6:$D$79)</x:f>
        <x:v>0.00009187802705133642</x:v>
      </x:c>
      <x:c r="G72" s="16" t="n">
        <x:f>SUM($F$6:F72)</x:f>
        <x:v>0.9995621817560162</x:v>
      </x:c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2" customHeight="1">
      <x:c r="A73" s="2" t="str">
        <x:v>flowers</x:v>
      </x:c>
      <x:c r="B73" s="8" t="n">
        <x:v>33</x:v>
      </x:c>
      <x:c r="C73" s="8" t="n">
        <x:v>29</x:v>
      </x:c>
      <x:c r="D73" s="8" t="n">
        <x:v>1110.04</x:v>
      </x:c>
      <x:c r="E73" s="8" t="n">
        <x:v>488.87</x:v>
      </x:c>
      <x:c r="F73" s="16" t="n">
        <x:f>D73/SUM($D$6:$D$79)</x:f>
        <x:v>0.00008993675938982846</x:v>
      </x:c>
      <x:c r="G73" s="16" t="n">
        <x:f>SUM($F$6:F73)</x:f>
        <x:v>0.999652118515406</x:v>
      </x:c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2" customHeight="1">
      <x:c r="A74" s="2" t="str">
        <x:v>pc_gamer</x:v>
      </x:c>
      <x:c r="B74" s="8" t="n">
        <x:v>7</x:v>
      </x:c>
      <x:c r="C74" s="8" t="n">
        <x:v>6</x:v>
      </x:c>
      <x:c r="D74" s="8" t="n">
        <x:v>1087.95</x:v>
      </x:c>
      <x:c r="E74" s="8" t="n">
        <x:v>103.52</x:v>
      </x:c>
      <x:c r="F74" s="16" t="n">
        <x:f>D74/SUM($D$6:$D$79)</x:f>
        <x:v>0.00008814700134964856</x:v>
      </x:c>
      <x:c r="G74" s="16" t="n">
        <x:f>SUM($F$6:F74)</x:f>
        <x:v>0.9997402655167557</x:v>
      </x:c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2" customHeight="1">
      <x:c r="A75" s="2" t="str">
        <x:v>arts_and_craftmanship</x:v>
      </x:c>
      <x:c r="B75" s="8" t="n">
        <x:v>15</x:v>
      </x:c>
      <x:c r="C75" s="8" t="n">
        <x:v>14</x:v>
      </x:c>
      <x:c r="D75" s="8" t="n">
        <x:v>912.25</x:v>
      </x:c>
      <x:c r="E75" s="8" t="n">
        <x:v>202.84</x:v>
      </x:c>
      <x:c r="F75" s="16" t="n">
        <x:f>D75/SUM($D$6:$D$79)</x:f>
        <x:v>0.00007391157863984272</x:v>
      </x:c>
      <x:c r="G75" s="16" t="n">
        <x:f>SUM($F$6:F75)</x:f>
        <x:v>0.9998141770953956</x:v>
      </x:c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2" customHeight="1">
      <x:c r="A76" s="2" t="str">
        <x:v>home_comfort_2</x:v>
      </x:c>
      <x:c r="B76" s="8" t="n">
        <x:v>30</x:v>
      </x:c>
      <x:c r="C76" s="8" t="n">
        <x:v>24</x:v>
      </x:c>
      <x:c r="D76" s="8" t="n">
        <x:v>760.27</x:v>
      </x:c>
      <x:c r="E76" s="8" t="n">
        <x:v>410.31</x:v>
      </x:c>
      <x:c r="F76" s="16" t="n">
        <x:f>D76/SUM($D$6:$D$79)</x:f>
        <x:v>0.00006159797850645463</x:v>
      </x:c>
      <x:c r="G76" s="16" t="n">
        <x:f>SUM($F$6:F76)</x:f>
        <x:v>0.999875775073902</x:v>
      </x:c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2" customHeight="1">
      <x:c r="A77" s="2" t="str">
        <x:v>cds_dvds_musicals</x:v>
      </x:c>
      <x:c r="B77" s="8" t="n">
        <x:v>14</x:v>
      </x:c>
      <x:c r="C77" s="8" t="n">
        <x:v>12</x:v>
      </x:c>
      <x:c r="D77" s="8" t="n">
        <x:v>730</x:v>
      </x:c>
      <x:c r="E77" s="8" t="n">
        <x:v>224.99</x:v>
      </x:c>
      <x:c r="F77" s="16" t="n">
        <x:f>D77/SUM($D$6:$D$79)</x:f>
        <x:v>0.000059145467149449376</x:v>
      </x:c>
      <x:c r="G77" s="16" t="n">
        <x:f>SUM($F$6:F77)</x:f>
        <x:v>0.9999349205410515</x:v>
      </x:c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2" customHeight="1">
      <x:c r="A78" s="2" t="str">
        <x:v>fashion_childrens_clothes</x:v>
      </x:c>
      <x:c r="B78" s="8" t="n">
        <x:v>7</x:v>
      </x:c>
      <x:c r="C78" s="8" t="n">
        <x:v>7</x:v>
      </x:c>
      <x:c r="D78" s="8" t="n">
        <x:v>519.95</x:v>
      </x:c>
      <x:c r="E78" s="8" t="n">
        <x:v>78.72</x:v>
      </x:c>
      <x:c r="F78" s="16" t="n">
        <x:f>D78/SUM($D$6:$D$79)</x:f>
        <x:v>0.00004212696663610439</x:v>
      </x:c>
      <x:c r="G78" s="16" t="n">
        <x:f>SUM($F$6:F78)</x:f>
        <x:v>0.9999770475076876</x:v>
      </x:c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2" customHeight="1">
      <x:c r="A79" s="2" t="str">
        <x:v>security_and_services</x:v>
      </x:c>
      <x:c r="B79" s="8" t="n">
        <x:v>2</x:v>
      </x:c>
      <x:c r="C79" s="8" t="n">
        <x:v>2</x:v>
      </x:c>
      <x:c r="D79" s="8" t="n">
        <x:v>283.29</x:v>
      </x:c>
      <x:c r="E79" s="8" t="n">
        <x:v>41.22</x:v>
      </x:c>
      <x:c r="F79" s="16" t="n">
        <x:f>D79/SUM($D$6:$D$79)</x:f>
        <x:v>0.000022952492313380156</x:v>
      </x:c>
      <x:c r="G79" s="16" t="n">
        <x:f>SUM($F$6:F79)</x:f>
        <x:v>1.0000000000000009</x:v>
      </x:c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</x:sheetData>
  <x:pageMargins left="0.7" right="0.7" top="0.75" bottom="0.75" header="0.3" footer="0.3"/>
  <x:drawing xmlns:r="http://schemas.openxmlformats.org/officeDocument/2006/relationships" r:id="Raf071bc3d566459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0" customHeight="1">
      <x:c r="A1" s="13" t="str">
        <x:v>Месяц</x:v>
      </x:c>
      <x:c r="B1" s="13" t="str">
        <x:v>Штат</x:v>
      </x:c>
      <x:c r="C1" s="13" t="str">
        <x:v>Все заказы</x:v>
      </x:c>
      <x:c r="D1" s="13" t="str">
        <x:v>Доставлено</x:v>
      </x:c>
      <x:c r="E1" s="13" t="str">
        <x:v>GMV BRL</x:v>
      </x:c>
      <x:c r="F1" s="13" t="str">
        <x:v>Доставка BRL</x:v>
      </x:c>
      <x:c r="G1" s="13" t="str">
        <x:v>Пригодно</x:v>
      </x:c>
      <x:c r="H1" s="13" t="str">
        <x:v>Опоздало</x:v>
      </x:c>
      <x:c r="I1" s="13" t="str">
        <x:v>Сумма дней</x:v>
      </x:c>
      <x:c r="J1" s="13" t="str">
        <x:v>С отзывом</x:v>
      </x:c>
      <x:c r="K1" s="13" t="str">
        <x:v>Низких оценок</x:v>
      </x:c>
      <x:c r="L1" s="2"/>
      <x:c r="M1" s="2" t="str">
        <x:v>Штаты</x:v>
      </x:c>
      <x:c r="N1" s="2" t="str">
        <x:v>Месяцы</x:v>
      </x:c>
    </x:row>
    <x:row r="2" ht="22" customHeight="1">
      <x:c r="A2" s="4" t="d">
        <x:v>2017-01-01T00:00:00.000Z</x:v>
      </x:c>
      <x:c r="B2" s="2" t="str">
        <x:v>AC</x:v>
      </x:c>
      <x:c r="C2" s="8" t="n">
        <x:v>2</x:v>
      </x:c>
      <x:c r="D2" s="8" t="n">
        <x:v>2</x:v>
      </x:c>
      <x:c r="E2" s="9" t="n">
        <x:v>589.6</x:v>
      </x:c>
      <x:c r="F2" s="9" t="n">
        <x:v>133.54</x:v>
      </x:c>
      <x:c r="G2" s="8" t="n">
        <x:v>2</x:v>
      </x:c>
      <x:c r="H2" s="8" t="n">
        <x:v>0</x:v>
      </x:c>
      <x:c r="I2" s="8" t="n">
        <x:v>41.6705439815</x:v>
      </x:c>
      <x:c r="J2" s="8" t="n">
        <x:v>2</x:v>
      </x:c>
      <x:c r="K2" s="8" t="n">
        <x:v>2</x:v>
      </x:c>
      <x:c r="L2" s="2"/>
      <x:c r="M2" s="2" t="str">
        <x:v>ALL</x:v>
      </x:c>
      <x:c r="N2" s="4" t="d">
        <x:v>2017-01-01T00:00:00.000Z</x:v>
      </x:c>
    </x:row>
    <x:row r="3" ht="22" customHeight="1">
      <x:c r="A3" s="4" t="d">
        <x:v>2017-01-01T00:00:00.000Z</x:v>
      </x:c>
      <x:c r="B3" s="2" t="str">
        <x:v>AL</x:v>
      </x:c>
      <x:c r="C3" s="8" t="n">
        <x:v>2</x:v>
      </x:c>
      <x:c r="D3" s="8" t="n">
        <x:v>2</x:v>
      </x:c>
      <x:c r="E3" s="9" t="n">
        <x:v>393.97</x:v>
      </x:c>
      <x:c r="F3" s="9" t="n">
        <x:v>60.39</x:v>
      </x:c>
      <x:c r="G3" s="8" t="n">
        <x:v>2</x:v>
      </x:c>
      <x:c r="H3" s="8" t="n">
        <x:v>0</x:v>
      </x:c>
      <x:c r="I3" s="8" t="n">
        <x:v>30.8904282407</x:v>
      </x:c>
      <x:c r="J3" s="8" t="n">
        <x:v>2</x:v>
      </x:c>
      <x:c r="K3" s="8" t="n">
        <x:v>1</x:v>
      </x:c>
      <x:c r="L3" s="2"/>
      <x:c r="M3" s="2" t="str">
        <x:v>AC</x:v>
      </x:c>
      <x:c r="N3" s="4" t="d">
        <x:v>2017-02-01T00:00:00.000Z</x:v>
      </x:c>
    </x:row>
    <x:row r="4" ht="22" customHeight="1">
      <x:c r="A4" s="4" t="d">
        <x:v>2017-01-01T00:00:00.000Z</x:v>
      </x:c>
      <x:c r="B4" s="2" t="str">
        <x:v>BA</x:v>
      </x:c>
      <x:c r="C4" s="8" t="n">
        <x:v>25</x:v>
      </x:c>
      <x:c r="D4" s="8" t="n">
        <x:v>24</x:v>
      </x:c>
      <x:c r="E4" s="9" t="n">
        <x:v>3788.02</x:v>
      </x:c>
      <x:c r="F4" s="9" t="n">
        <x:v>537.35</x:v>
      </x:c>
      <x:c r="G4" s="8" t="n">
        <x:v>24</x:v>
      </x:c>
      <x:c r="H4" s="8" t="n">
        <x:v>1</x:v>
      </x:c>
      <x:c r="I4" s="8" t="n">
        <x:v>360.0540393519</x:v>
      </x:c>
      <x:c r="J4" s="8" t="n">
        <x:v>24</x:v>
      </x:c>
      <x:c r="K4" s="8" t="n">
        <x:v>5</x:v>
      </x:c>
      <x:c r="L4" s="2"/>
      <x:c r="M4" s="2" t="str">
        <x:v>AL</x:v>
      </x:c>
      <x:c r="N4" s="4" t="d">
        <x:v>2017-03-01T00:00:00.000Z</x:v>
      </x:c>
    </x:row>
    <x:row r="5" ht="22" customHeight="1">
      <x:c r="A5" s="4" t="d">
        <x:v>2017-01-01T00:00:00.000Z</x:v>
      </x:c>
      <x:c r="B5" s="2" t="str">
        <x:v>CE</x:v>
      </x:c>
      <x:c r="C5" s="8" t="n">
        <x:v>9</x:v>
      </x:c>
      <x:c r="D5" s="8" t="n">
        <x:v>8</x:v>
      </x:c>
      <x:c r="E5" s="9" t="n">
        <x:v>894.49</x:v>
      </x:c>
      <x:c r="F5" s="9" t="n">
        <x:v>190.64</x:v>
      </x:c>
      <x:c r="G5" s="8" t="n">
        <x:v>8</x:v>
      </x:c>
      <x:c r="H5" s="8" t="n">
        <x:v>1</x:v>
      </x:c>
      <x:c r="I5" s="8" t="n">
        <x:v>204.5178703704</x:v>
      </x:c>
      <x:c r="J5" s="8" t="n">
        <x:v>8</x:v>
      </x:c>
      <x:c r="K5" s="8" t="n">
        <x:v>1</x:v>
      </x:c>
      <x:c r="L5" s="2"/>
      <x:c r="M5" s="2" t="str">
        <x:v>AM</x:v>
      </x:c>
      <x:c r="N5" s="4" t="d">
        <x:v>2017-04-01T00:00:00.000Z</x:v>
      </x:c>
    </x:row>
    <x:row r="6" ht="22" customHeight="1">
      <x:c r="A6" s="4" t="d">
        <x:v>2017-01-01T00:00:00.000Z</x:v>
      </x:c>
      <x:c r="B6" s="2" t="str">
        <x:v>DF</x:v>
      </x:c>
      <x:c r="C6" s="8" t="n">
        <x:v>13</x:v>
      </x:c>
      <x:c r="D6" s="8" t="n">
        <x:v>13</x:v>
      </x:c>
      <x:c r="E6" s="9" t="n">
        <x:v>1826.63</x:v>
      </x:c>
      <x:c r="F6" s="9" t="n">
        <x:v>278.12</x:v>
      </x:c>
      <x:c r="G6" s="8" t="n">
        <x:v>13</x:v>
      </x:c>
      <x:c r="H6" s="8" t="n">
        <x:v>2</x:v>
      </x:c>
      <x:c r="I6" s="8" t="n">
        <x:v>279.269224537</x:v>
      </x:c>
      <x:c r="J6" s="8" t="n">
        <x:v>13</x:v>
      </x:c>
      <x:c r="K6" s="8" t="n">
        <x:v>4</x:v>
      </x:c>
      <x:c r="L6" s="2"/>
      <x:c r="M6" s="2" t="str">
        <x:v>AP</x:v>
      </x:c>
      <x:c r="N6" s="4" t="d">
        <x:v>2017-05-01T00:00:00.000Z</x:v>
      </x:c>
    </x:row>
    <x:row r="7" ht="22" customHeight="1">
      <x:c r="A7" s="4" t="d">
        <x:v>2017-01-01T00:00:00.000Z</x:v>
      </x:c>
      <x:c r="B7" s="2" t="str">
        <x:v>ES</x:v>
      </x:c>
      <x:c r="C7" s="8" t="n">
        <x:v>12</x:v>
      </x:c>
      <x:c r="D7" s="8" t="n">
        <x:v>9</x:v>
      </x:c>
      <x:c r="E7" s="9" t="n">
        <x:v>816.2</x:v>
      </x:c>
      <x:c r="F7" s="9" t="n">
        <x:v>194.58</x:v>
      </x:c>
      <x:c r="G7" s="8" t="n">
        <x:v>9</x:v>
      </x:c>
      <x:c r="H7" s="8" t="n">
        <x:v>1</x:v>
      </x:c>
      <x:c r="I7" s="8" t="n">
        <x:v>148.699837963</x:v>
      </x:c>
      <x:c r="J7" s="8" t="n">
        <x:v>9</x:v>
      </x:c>
      <x:c r="K7" s="8" t="n">
        <x:v>1</x:v>
      </x:c>
      <x:c r="L7" s="2"/>
      <x:c r="M7" s="2" t="str">
        <x:v>BA</x:v>
      </x:c>
      <x:c r="N7" s="4" t="d">
        <x:v>2017-06-01T00:00:00.000Z</x:v>
      </x:c>
    </x:row>
    <x:row r="8" ht="22" customHeight="1">
      <x:c r="A8" s="4" t="d">
        <x:v>2017-01-01T00:00:00.000Z</x:v>
      </x:c>
      <x:c r="B8" s="2" t="str">
        <x:v>GO</x:v>
      </x:c>
      <x:c r="C8" s="8" t="n">
        <x:v>18</x:v>
      </x:c>
      <x:c r="D8" s="8" t="n">
        <x:v>18</x:v>
      </x:c>
      <x:c r="E8" s="9" t="n">
        <x:v>4227.49</x:v>
      </x:c>
      <x:c r="F8" s="9" t="n">
        <x:v>430.8</x:v>
      </x:c>
      <x:c r="G8" s="8" t="n">
        <x:v>18</x:v>
      </x:c>
      <x:c r="H8" s="8" t="n">
        <x:v>0</x:v>
      </x:c>
      <x:c r="I8" s="8" t="n">
        <x:v>230.7991550926</x:v>
      </x:c>
      <x:c r="J8" s="8" t="n">
        <x:v>18</x:v>
      </x:c>
      <x:c r="K8" s="8" t="n">
        <x:v>2</x:v>
      </x:c>
      <x:c r="L8" s="2"/>
      <x:c r="M8" s="2" t="str">
        <x:v>CE</x:v>
      </x:c>
      <x:c r="N8" s="4" t="d">
        <x:v>2017-07-01T00:00:00.000Z</x:v>
      </x:c>
    </x:row>
    <x:row r="9" ht="22" customHeight="1">
      <x:c r="A9" s="4" t="d">
        <x:v>2017-01-01T00:00:00.000Z</x:v>
      </x:c>
      <x:c r="B9" s="2" t="str">
        <x:v>MA</x:v>
      </x:c>
      <x:c r="C9" s="8" t="n">
        <x:v>9</x:v>
      </x:c>
      <x:c r="D9" s="8" t="n">
        <x:v>6</x:v>
      </x:c>
      <x:c r="E9" s="9" t="n">
        <x:v>563.1</x:v>
      </x:c>
      <x:c r="F9" s="9" t="n">
        <x:v>153.37</x:v>
      </x:c>
      <x:c r="G9" s="8" t="n">
        <x:v>6</x:v>
      </x:c>
      <x:c r="H9" s="8" t="n">
        <x:v>1</x:v>
      </x:c>
      <x:c r="I9" s="8" t="n">
        <x:v>148.7967824074</x:v>
      </x:c>
      <x:c r="J9" s="8" t="n">
        <x:v>6</x:v>
      </x:c>
      <x:c r="K9" s="8" t="n">
        <x:v>1</x:v>
      </x:c>
      <x:c r="L9" s="2"/>
      <x:c r="M9" s="2" t="str">
        <x:v>DF</x:v>
      </x:c>
      <x:c r="N9" s="4" t="d">
        <x:v>2017-08-01T00:00:00.000Z</x:v>
      </x:c>
    </x:row>
    <x:row r="10" ht="22" customHeight="1">
      <x:c r="A10" s="4" t="d">
        <x:v>2017-01-01T00:00:00.000Z</x:v>
      </x:c>
      <x:c r="B10" s="2" t="str">
        <x:v>MG</x:v>
      </x:c>
      <x:c r="C10" s="8" t="n">
        <x:v>108</x:v>
      </x:c>
      <x:c r="D10" s="8" t="n">
        <x:v>102</x:v>
      </x:c>
      <x:c r="E10" s="9" t="n">
        <x:v>15753.85</x:v>
      </x:c>
      <x:c r="F10" s="9" t="n">
        <x:v>2291.38</x:v>
      </x:c>
      <x:c r="G10" s="8" t="n">
        <x:v>102</x:v>
      </x:c>
      <x:c r="H10" s="8" t="n">
        <x:v>0</x:v>
      </x:c>
      <x:c r="I10" s="8" t="n">
        <x:v>1115.3599537037</x:v>
      </x:c>
      <x:c r="J10" s="8" t="n">
        <x:v>101</x:v>
      </x:c>
      <x:c r="K10" s="8" t="n">
        <x:v>10</x:v>
      </x:c>
      <x:c r="L10" s="2"/>
      <x:c r="M10" s="2" t="str">
        <x:v>ES</x:v>
      </x:c>
      <x:c r="N10" s="4" t="d">
        <x:v>2017-09-01T00:00:00.000Z</x:v>
      </x:c>
    </x:row>
    <x:row r="11" ht="22" customHeight="1">
      <x:c r="A11" s="4" t="d">
        <x:v>2017-01-01T00:00:00.000Z</x:v>
      </x:c>
      <x:c r="B11" s="2" t="str">
        <x:v>MS</x:v>
      </x:c>
      <x:c r="C11" s="8" t="n">
        <x:v>1</x:v>
      </x:c>
      <x:c r="D11" s="8" t="n">
        <x:v>1</x:v>
      </x:c>
      <x:c r="E11" s="9" t="n">
        <x:v>149</x:v>
      </x:c>
      <x:c r="F11" s="9" t="n">
        <x:v>21.36</x:v>
      </x:c>
      <x:c r="G11" s="8" t="n">
        <x:v>1</x:v>
      </x:c>
      <x:c r="H11" s="8" t="n">
        <x:v>0</x:v>
      </x:c>
      <x:c r="I11" s="8" t="n">
        <x:v>11.6543171296</x:v>
      </x:c>
      <x:c r="J11" s="8" t="n">
        <x:v>1</x:v>
      </x:c>
      <x:c r="K11" s="8" t="n">
        <x:v>0</x:v>
      </x:c>
      <x:c r="L11" s="2"/>
      <x:c r="M11" s="2" t="str">
        <x:v>GO</x:v>
      </x:c>
      <x:c r="N11" s="4" t="d">
        <x:v>2017-10-01T00:00:00.000Z</x:v>
      </x:c>
    </x:row>
    <x:row r="12" ht="22" customHeight="1">
      <x:c r="A12" s="4" t="d">
        <x:v>2017-01-01T00:00:00.000Z</x:v>
      </x:c>
      <x:c r="B12" s="2" t="str">
        <x:v>MT</x:v>
      </x:c>
      <x:c r="C12" s="8" t="n">
        <x:v>11</x:v>
      </x:c>
      <x:c r="D12" s="8" t="n">
        <x:v>9</x:v>
      </x:c>
      <x:c r="E12" s="9" t="n">
        <x:v>1653.74</x:v>
      </x:c>
      <x:c r="F12" s="9" t="n">
        <x:v>269.05</x:v>
      </x:c>
      <x:c r="G12" s="8" t="n">
        <x:v>9</x:v>
      </x:c>
      <x:c r="H12" s="8" t="n">
        <x:v>0</x:v>
      </x:c>
      <x:c r="I12" s="8" t="n">
        <x:v>142.2820023148</x:v>
      </x:c>
      <x:c r="J12" s="8" t="n">
        <x:v>9</x:v>
      </x:c>
      <x:c r="K12" s="8" t="n">
        <x:v>3</x:v>
      </x:c>
      <x:c r="L12" s="2"/>
      <x:c r="M12" s="2" t="str">
        <x:v>MA</x:v>
      </x:c>
      <x:c r="N12" s="4" t="d">
        <x:v>2017-11-01T00:00:00.000Z</x:v>
      </x:c>
    </x:row>
    <x:row r="13" ht="22" customHeight="1">
      <x:c r="A13" s="4" t="d">
        <x:v>2017-01-01T00:00:00.000Z</x:v>
      </x:c>
      <x:c r="B13" s="2" t="str">
        <x:v>PA</x:v>
      </x:c>
      <x:c r="C13" s="8" t="n">
        <x:v>12</x:v>
      </x:c>
      <x:c r="D13" s="8" t="n">
        <x:v>10</x:v>
      </x:c>
      <x:c r="E13" s="9" t="n">
        <x:v>1258.37</x:v>
      </x:c>
      <x:c r="F13" s="9" t="n">
        <x:v>264.55</x:v>
      </x:c>
      <x:c r="G13" s="8" t="n">
        <x:v>10</x:v>
      </x:c>
      <x:c r="H13" s="8" t="n">
        <x:v>0</x:v>
      </x:c>
      <x:c r="I13" s="8" t="n">
        <x:v>150.8631712963</x:v>
      </x:c>
      <x:c r="J13" s="8" t="n">
        <x:v>10</x:v>
      </x:c>
      <x:c r="K13" s="8" t="n">
        <x:v>1</x:v>
      </x:c>
      <x:c r="L13" s="2"/>
      <x:c r="M13" s="2" t="str">
        <x:v>MG</x:v>
      </x:c>
      <x:c r="N13" s="4" t="d">
        <x:v>2017-12-01T00:00:00.000Z</x:v>
      </x:c>
    </x:row>
    <x:row r="14" ht="22" customHeight="1">
      <x:c r="A14" s="4" t="d">
        <x:v>2017-01-01T00:00:00.000Z</x:v>
      </x:c>
      <x:c r="B14" s="2" t="str">
        <x:v>PB</x:v>
      </x:c>
      <x:c r="C14" s="8" t="n">
        <x:v>2</x:v>
      </x:c>
      <x:c r="D14" s="8" t="n">
        <x:v>2</x:v>
      </x:c>
      <x:c r="E14" s="9" t="n">
        <x:v>409.8</x:v>
      </x:c>
      <x:c r="F14" s="9" t="n">
        <x:v>53.33</x:v>
      </x:c>
      <x:c r="G14" s="8" t="n">
        <x:v>2</x:v>
      </x:c>
      <x:c r="H14" s="8" t="n">
        <x:v>0</x:v>
      </x:c>
      <x:c r="I14" s="8" t="n">
        <x:v>22.4262847222</x:v>
      </x:c>
      <x:c r="J14" s="8" t="n">
        <x:v>2</x:v>
      </x:c>
      <x:c r="K14" s="8" t="n">
        <x:v>0</x:v>
      </x:c>
      <x:c r="L14" s="2"/>
      <x:c r="M14" s="2" t="str">
        <x:v>MS</x:v>
      </x:c>
      <x:c r="N14" s="4" t="d">
        <x:v>2018-01-01T00:00:00.000Z</x:v>
      </x:c>
    </x:row>
    <x:row r="15" ht="22" customHeight="1">
      <x:c r="A15" s="4" t="d">
        <x:v>2017-01-01T00:00:00.000Z</x:v>
      </x:c>
      <x:c r="B15" s="2" t="str">
        <x:v>PE</x:v>
      </x:c>
      <x:c r="C15" s="8" t="n">
        <x:v>9</x:v>
      </x:c>
      <x:c r="D15" s="8" t="n">
        <x:v>9</x:v>
      </x:c>
      <x:c r="E15" s="9" t="n">
        <x:v>1884.48</x:v>
      </x:c>
      <x:c r="F15" s="9" t="n">
        <x:v>267.45</x:v>
      </x:c>
      <x:c r="G15" s="8" t="n">
        <x:v>9</x:v>
      </x:c>
      <x:c r="H15" s="8" t="n">
        <x:v>1</x:v>
      </x:c>
      <x:c r="I15" s="8" t="n">
        <x:v>187.3474884259</x:v>
      </x:c>
      <x:c r="J15" s="8" t="n">
        <x:v>8</x:v>
      </x:c>
      <x:c r="K15" s="8" t="n">
        <x:v>1</x:v>
      </x:c>
      <x:c r="L15" s="2"/>
      <x:c r="M15" s="2" t="str">
        <x:v>MT</x:v>
      </x:c>
      <x:c r="N15" s="4" t="d">
        <x:v>2018-02-01T00:00:00.000Z</x:v>
      </x:c>
    </x:row>
    <x:row r="16" ht="22" customHeight="1">
      <x:c r="A16" s="4" t="d">
        <x:v>2017-01-01T00:00:00.000Z</x:v>
      </x:c>
      <x:c r="B16" s="2" t="str">
        <x:v>PI</x:v>
      </x:c>
      <x:c r="C16" s="8" t="n">
        <x:v>7</x:v>
      </x:c>
      <x:c r="D16" s="8" t="n">
        <x:v>7</x:v>
      </x:c>
      <x:c r="E16" s="9" t="n">
        <x:v>1250.85</x:v>
      </x:c>
      <x:c r="F16" s="9" t="n">
        <x:v>203.13</x:v>
      </x:c>
      <x:c r="G16" s="8" t="n">
        <x:v>7</x:v>
      </x:c>
      <x:c r="H16" s="8" t="n">
        <x:v>0</x:v>
      </x:c>
      <x:c r="I16" s="8" t="n">
        <x:v>105.532025463</x:v>
      </x:c>
      <x:c r="J16" s="8" t="n">
        <x:v>7</x:v>
      </x:c>
      <x:c r="K16" s="8" t="n">
        <x:v>0</x:v>
      </x:c>
      <x:c r="L16" s="2"/>
      <x:c r="M16" s="2" t="str">
        <x:v>PA</x:v>
      </x:c>
      <x:c r="N16" s="4" t="d">
        <x:v>2018-03-01T00:00:00.000Z</x:v>
      </x:c>
    </x:row>
    <x:row r="17" ht="22" customHeight="1">
      <x:c r="A17" s="4" t="d">
        <x:v>2017-01-01T00:00:00.000Z</x:v>
      </x:c>
      <x:c r="B17" s="2" t="str">
        <x:v>PR</x:v>
      </x:c>
      <x:c r="C17" s="8" t="n">
        <x:v>65</x:v>
      </x:c>
      <x:c r="D17" s="8" t="n">
        <x:v>62</x:v>
      </x:c>
      <x:c r="E17" s="9" t="n">
        <x:v>5049.63</x:v>
      </x:c>
      <x:c r="F17" s="9" t="n">
        <x:v>935.37</x:v>
      </x:c>
      <x:c r="G17" s="8" t="n">
        <x:v>62</x:v>
      </x:c>
      <x:c r="H17" s="8" t="n">
        <x:v>2</x:v>
      </x:c>
      <x:c r="I17" s="8" t="n">
        <x:v>737.3380092593</x:v>
      </x:c>
      <x:c r="J17" s="8" t="n">
        <x:v>62</x:v>
      </x:c>
      <x:c r="K17" s="8" t="n">
        <x:v>7</x:v>
      </x:c>
      <x:c r="L17" s="2"/>
      <x:c r="M17" s="2" t="str">
        <x:v>PB</x:v>
      </x:c>
      <x:c r="N17" s="4" t="d">
        <x:v>2018-04-01T00:00:00.000Z</x:v>
      </x:c>
    </x:row>
    <x:row r="18" ht="22" customHeight="1">
      <x:c r="A18" s="4" t="d">
        <x:v>2017-01-01T00:00:00.000Z</x:v>
      </x:c>
      <x:c r="B18" s="2" t="str">
        <x:v>RJ</x:v>
      </x:c>
      <x:c r="C18" s="8" t="n">
        <x:v>97</x:v>
      </x:c>
      <x:c r="D18" s="8" t="n">
        <x:v>91</x:v>
      </x:c>
      <x:c r="E18" s="9" t="n">
        <x:v>12048.1</x:v>
      </x:c>
      <x:c r="F18" s="9" t="n">
        <x:v>1954.63</x:v>
      </x:c>
      <x:c r="G18" s="8" t="n">
        <x:v>91</x:v>
      </x:c>
      <x:c r="H18" s="8" t="n">
        <x:v>3</x:v>
      </x:c>
      <x:c r="I18" s="8" t="n">
        <x:v>1263.4106134259</x:v>
      </x:c>
      <x:c r="J18" s="8" t="n">
        <x:v>88</x:v>
      </x:c>
      <x:c r="K18" s="8" t="n">
        <x:v>11</x:v>
      </x:c>
      <x:c r="L18" s="2"/>
      <x:c r="M18" s="2" t="str">
        <x:v>PE</x:v>
      </x:c>
      <x:c r="N18" s="4" t="d">
        <x:v>2018-05-01T00:00:00.000Z</x:v>
      </x:c>
    </x:row>
    <x:row r="19" ht="22" customHeight="1">
      <x:c r="A19" s="4" t="d">
        <x:v>2017-01-01T00:00:00.000Z</x:v>
      </x:c>
      <x:c r="B19" s="2" t="str">
        <x:v>RN</x:v>
      </x:c>
      <x:c r="C19" s="8" t="n">
        <x:v>5</x:v>
      </x:c>
      <x:c r="D19" s="8" t="n">
        <x:v>5</x:v>
      </x:c>
      <x:c r="E19" s="9" t="n">
        <x:v>1124.87</x:v>
      </x:c>
      <x:c r="F19" s="9" t="n">
        <x:v>143.26</x:v>
      </x:c>
      <x:c r="G19" s="8" t="n">
        <x:v>5</x:v>
      </x:c>
      <x:c r="H19" s="8" t="n">
        <x:v>0</x:v>
      </x:c>
      <x:c r="I19" s="8" t="n">
        <x:v>51.4610532407</x:v>
      </x:c>
      <x:c r="J19" s="8" t="n">
        <x:v>5</x:v>
      </x:c>
      <x:c r="K19" s="8" t="n">
        <x:v>0</x:v>
      </x:c>
      <x:c r="L19" s="2"/>
      <x:c r="M19" s="2" t="str">
        <x:v>PI</x:v>
      </x:c>
      <x:c r="N19" s="4" t="d">
        <x:v>2018-06-01T00:00:00.000Z</x:v>
      </x:c>
    </x:row>
    <x:row r="20" ht="22" customHeight="1">
      <x:c r="A20" s="4" t="d">
        <x:v>2017-01-01T00:00:00.000Z</x:v>
      </x:c>
      <x:c r="B20" s="2" t="str">
        <x:v>RO</x:v>
      </x:c>
      <x:c r="C20" s="8" t="n">
        <x:v>3</x:v>
      </x:c>
      <x:c r="D20" s="8" t="n">
        <x:v>3</x:v>
      </x:c>
      <x:c r="E20" s="9" t="n">
        <x:v>682.19</x:v>
      </x:c>
      <x:c r="F20" s="9" t="n">
        <x:v>143.32</x:v>
      </x:c>
      <x:c r="G20" s="8" t="n">
        <x:v>3</x:v>
      </x:c>
      <x:c r="H20" s="8" t="n">
        <x:v>0</x:v>
      </x:c>
      <x:c r="I20" s="8" t="n">
        <x:v>85.5447569444</x:v>
      </x:c>
      <x:c r="J20" s="8" t="n">
        <x:v>3</x:v>
      </x:c>
      <x:c r="K20" s="8" t="n">
        <x:v>1</x:v>
      </x:c>
      <x:c r="L20" s="2"/>
      <x:c r="M20" s="2" t="str">
        <x:v>PR</x:v>
      </x:c>
      <x:c r="N20" s="4" t="d">
        <x:v>2018-07-01T00:00:00.000Z</x:v>
      </x:c>
    </x:row>
    <x:row r="21" ht="22" customHeight="1">
      <x:c r="A21" s="4" t="d">
        <x:v>2017-01-01T00:00:00.000Z</x:v>
      </x:c>
      <x:c r="B21" s="2" t="str">
        <x:v>RS</x:v>
      </x:c>
      <x:c r="C21" s="8" t="n">
        <x:v>54</x:v>
      </x:c>
      <x:c r="D21" s="8" t="n">
        <x:v>52</x:v>
      </x:c>
      <x:c r="E21" s="9" t="n">
        <x:v>11903.98</x:v>
      </x:c>
      <x:c r="F21" s="9" t="n">
        <x:v>1235.96</x:v>
      </x:c>
      <x:c r="G21" s="8" t="n">
        <x:v>52</x:v>
      </x:c>
      <x:c r="H21" s="8" t="n">
        <x:v>1</x:v>
      </x:c>
      <x:c r="I21" s="8" t="n">
        <x:v>675.513125</x:v>
      </x:c>
      <x:c r="J21" s="8" t="n">
        <x:v>51</x:v>
      </x:c>
      <x:c r="K21" s="8" t="n">
        <x:v>6</x:v>
      </x:c>
      <x:c r="L21" s="2"/>
      <x:c r="M21" s="2" t="str">
        <x:v>RJ</x:v>
      </x:c>
      <x:c r="N21" s="2"/>
    </x:row>
    <x:row r="22" ht="22" customHeight="1">
      <x:c r="A22" s="4" t="d">
        <x:v>2017-01-01T00:00:00.000Z</x:v>
      </x:c>
      <x:c r="B22" s="2" t="str">
        <x:v>SC</x:v>
      </x:c>
      <x:c r="C22" s="8" t="n">
        <x:v>31</x:v>
      </x:c>
      <x:c r="D22" s="8" t="n">
        <x:v>26</x:v>
      </x:c>
      <x:c r="E22" s="9" t="n">
        <x:v>5021.57</x:v>
      </x:c>
      <x:c r="F22" s="9" t="n">
        <x:v>534.04</x:v>
      </x:c>
      <x:c r="G22" s="8" t="n">
        <x:v>26</x:v>
      </x:c>
      <x:c r="H22" s="8" t="n">
        <x:v>1</x:v>
      </x:c>
      <x:c r="I22" s="8" t="n">
        <x:v>436.2737615741</x:v>
      </x:c>
      <x:c r="J22" s="8" t="n">
        <x:v>26</x:v>
      </x:c>
      <x:c r="K22" s="8" t="n">
        <x:v>1</x:v>
      </x:c>
      <x:c r="L22" s="2"/>
      <x:c r="M22" s="2" t="str">
        <x:v>RN</x:v>
      </x:c>
      <x:c r="N22" s="2"/>
    </x:row>
    <x:row r="23" ht="22" customHeight="1">
      <x:c r="A23" s="4" t="d">
        <x:v>2017-01-01T00:00:00.000Z</x:v>
      </x:c>
      <x:c r="B23" s="2" t="str">
        <x:v>SE</x:v>
      </x:c>
      <x:c r="C23" s="8" t="n">
        <x:v>4</x:v>
      </x:c>
      <x:c r="D23" s="8" t="n">
        <x:v>4</x:v>
      </x:c>
      <x:c r="E23" s="9" t="n">
        <x:v>263.8</x:v>
      </x:c>
      <x:c r="F23" s="9" t="n">
        <x:v>117.98</x:v>
      </x:c>
      <x:c r="G23" s="8" t="n">
        <x:v>4</x:v>
      </x:c>
      <x:c r="H23" s="8" t="n">
        <x:v>0</x:v>
      </x:c>
      <x:c r="I23" s="8" t="n">
        <x:v>53.003587963</x:v>
      </x:c>
      <x:c r="J23" s="8" t="n">
        <x:v>4</x:v>
      </x:c>
      <x:c r="K23" s="8" t="n">
        <x:v>0</x:v>
      </x:c>
      <x:c r="L23" s="2"/>
      <x:c r="M23" s="2" t="str">
        <x:v>RO</x:v>
      </x:c>
      <x:c r="N23" s="2"/>
    </x:row>
    <x:row r="24" ht="22" customHeight="1">
      <x:c r="A24" s="4" t="d">
        <x:v>2017-01-01T00:00:00.000Z</x:v>
      </x:c>
      <x:c r="B24" s="2" t="str">
        <x:v>SP</x:v>
      </x:c>
      <x:c r="C24" s="8" t="n">
        <x:v>299</x:v>
      </x:c>
      <x:c r="D24" s="8" t="n">
        <x:v>283</x:v>
      </x:c>
      <x:c r="E24" s="9" t="n">
        <x:v>39614.74</x:v>
      </x:c>
      <x:c r="F24" s="9" t="n">
        <x:v>5223.44</x:v>
      </x:c>
      <x:c r="G24" s="8" t="n">
        <x:v>283</x:v>
      </x:c>
      <x:c r="H24" s="8" t="n">
        <x:v>8</x:v>
      </x:c>
      <x:c r="I24" s="8" t="n">
        <x:v>2975.9341087963</x:v>
      </x:c>
      <x:c r="J24" s="8" t="n">
        <x:v>280</x:v>
      </x:c>
      <x:c r="K24" s="8" t="n">
        <x:v>31</x:v>
      </x:c>
      <x:c r="L24" s="2"/>
      <x:c r="M24" s="2" t="str">
        <x:v>RR</x:v>
      </x:c>
      <x:c r="N24" s="2"/>
    </x:row>
    <x:row r="25" ht="22" customHeight="1">
      <x:c r="A25" s="4" t="d">
        <x:v>2017-01-01T00:00:00.000Z</x:v>
      </x:c>
      <x:c r="B25" s="2" t="str">
        <x:v>TO</x:v>
      </x:c>
      <x:c r="C25" s="8" t="n">
        <x:v>2</x:v>
      </x:c>
      <x:c r="D25" s="8" t="n">
        <x:v>2</x:v>
      </x:c>
      <x:c r="E25" s="9" t="n">
        <x:v>629.89</x:v>
      </x:c>
      <x:c r="F25" s="9" t="n">
        <x:v>46.97</x:v>
      </x:c>
      <x:c r="G25" s="8" t="n">
        <x:v>2</x:v>
      </x:c>
      <x:c r="H25" s="8" t="n">
        <x:v>0</x:v>
      </x:c>
      <x:c r="I25" s="8" t="n">
        <x:v>26.6404976852</x:v>
      </x:c>
      <x:c r="J25" s="8" t="n">
        <x:v>2</x:v>
      </x:c>
      <x:c r="K25" s="8" t="n">
        <x:v>0</x:v>
      </x:c>
      <x:c r="L25" s="2"/>
      <x:c r="M25" s="2" t="str">
        <x:v>RS</x:v>
      </x:c>
      <x:c r="N25" s="2"/>
    </x:row>
    <x:row r="26" ht="22" customHeight="1">
      <x:c r="A26" s="4" t="d">
        <x:v>2017-02-01T00:00:00.000Z</x:v>
      </x:c>
      <x:c r="B26" s="2" t="str">
        <x:v>AC</x:v>
      </x:c>
      <x:c r="C26" s="8" t="n">
        <x:v>3</x:v>
      </x:c>
      <x:c r="D26" s="8" t="n">
        <x:v>3</x:v>
      </x:c>
      <x:c r="E26" s="9" t="n">
        <x:v>450.4</x:v>
      </x:c>
      <x:c r="F26" s="9" t="n">
        <x:v>147</x:v>
      </x:c>
      <x:c r="G26" s="8" t="n">
        <x:v>3</x:v>
      </x:c>
      <x:c r="H26" s="8" t="n">
        <x:v>0</x:v>
      </x:c>
      <x:c r="I26" s="8" t="n">
        <x:v>77.2620949074</x:v>
      </x:c>
      <x:c r="J26" s="8" t="n">
        <x:v>3</x:v>
      </x:c>
      <x:c r="K26" s="8" t="n">
        <x:v>0</x:v>
      </x:c>
      <x:c r="L26" s="2"/>
      <x:c r="M26" s="2" t="str">
        <x:v>SC</x:v>
      </x:c>
      <x:c r="N26" s="2"/>
    </x:row>
    <x:row r="27" ht="22" customHeight="1">
      <x:c r="A27" s="4" t="d">
        <x:v>2017-02-01T00:00:00.000Z</x:v>
      </x:c>
      <x:c r="B27" s="2" t="str">
        <x:v>AL</x:v>
      </x:c>
      <x:c r="C27" s="8" t="n">
        <x:v>12</x:v>
      </x:c>
      <x:c r="D27" s="8" t="n">
        <x:v>12</x:v>
      </x:c>
      <x:c r="E27" s="9" t="n">
        <x:v>2616.03</x:v>
      </x:c>
      <x:c r="F27" s="9" t="n">
        <x:v>351.84</x:v>
      </x:c>
      <x:c r="G27" s="8" t="n">
        <x:v>12</x:v>
      </x:c>
      <x:c r="H27" s="8" t="n">
        <x:v>1</x:v>
      </x:c>
      <x:c r="I27" s="8" t="n">
        <x:v>344.7181944444</x:v>
      </x:c>
      <x:c r="J27" s="8" t="n">
        <x:v>12</x:v>
      </x:c>
      <x:c r="K27" s="8" t="n">
        <x:v>1</x:v>
      </x:c>
      <x:c r="L27" s="2"/>
      <x:c r="M27" s="2" t="str">
        <x:v>SE</x:v>
      </x:c>
      <x:c r="N27" s="2"/>
    </x:row>
    <x:row r="28" ht="22" customHeight="1">
      <x:c r="A28" s="4" t="d">
        <x:v>2017-02-01T00:00:00.000Z</x:v>
      </x:c>
      <x:c r="B28" s="2" t="str">
        <x:v>AM</x:v>
      </x:c>
      <x:c r="C28" s="8" t="n">
        <x:v>8</x:v>
      </x:c>
      <x:c r="D28" s="8" t="n">
        <x:v>8</x:v>
      </x:c>
      <x:c r="E28" s="9" t="n">
        <x:v>902.89</x:v>
      </x:c>
      <x:c r="F28" s="9" t="n">
        <x:v>219.65</x:v>
      </x:c>
      <x:c r="G28" s="8" t="n">
        <x:v>8</x:v>
      </x:c>
      <x:c r="H28" s="8" t="n">
        <x:v>0</x:v>
      </x:c>
      <x:c r="I28" s="8" t="n">
        <x:v>134.7243981481</x:v>
      </x:c>
      <x:c r="J28" s="8" t="n">
        <x:v>8</x:v>
      </x:c>
      <x:c r="K28" s="8" t="n">
        <x:v>0</x:v>
      </x:c>
      <x:c r="L28" s="2"/>
      <x:c r="M28" s="2" t="str">
        <x:v>SP</x:v>
      </x:c>
      <x:c r="N28" s="2"/>
    </x:row>
    <x:row r="29" ht="22" customHeight="1">
      <x:c r="A29" s="4" t="d">
        <x:v>2017-02-01T00:00:00.000Z</x:v>
      </x:c>
      <x:c r="B29" s="2" t="str">
        <x:v>AP</x:v>
      </x:c>
      <x:c r="C29" s="8" t="n">
        <x:v>2</x:v>
      </x:c>
      <x:c r="D29" s="8" t="n">
        <x:v>2</x:v>
      </x:c>
      <x:c r="E29" s="9" t="n">
        <x:v>549.85</x:v>
      </x:c>
      <x:c r="F29" s="9" t="n">
        <x:v>157.35</x:v>
      </x:c>
      <x:c r="G29" s="8" t="n">
        <x:v>2</x:v>
      </x:c>
      <x:c r="H29" s="8" t="n">
        <x:v>0</x:v>
      </x:c>
      <x:c r="I29" s="8" t="n">
        <x:v>34.3615046296</x:v>
      </x:c>
      <x:c r="J29" s="8" t="n">
        <x:v>2</x:v>
      </x:c>
      <x:c r="K29" s="8" t="n">
        <x:v>0</x:v>
      </x:c>
      <x:c r="L29" s="2"/>
      <x:c r="M29" s="2" t="str">
        <x:v>TO</x:v>
      </x:c>
      <x:c r="N29" s="2"/>
    </x:row>
    <x:row r="30" ht="22" customHeight="1">
      <x:c r="A30" s="4" t="d">
        <x:v>2017-02-01T00:00:00.000Z</x:v>
      </x:c>
      <x:c r="B30" s="2" t="str">
        <x:v>BA</x:v>
      </x:c>
      <x:c r="C30" s="8" t="n">
        <x:v>59</x:v>
      </x:c>
      <x:c r="D30" s="8" t="n">
        <x:v>58</x:v>
      </x:c>
      <x:c r="E30" s="9" t="n">
        <x:v>6990.78</x:v>
      </x:c>
      <x:c r="F30" s="9" t="n">
        <x:v>1526.69</x:v>
      </x:c>
      <x:c r="G30" s="8" t="n">
        <x:v>58</x:v>
      </x:c>
      <x:c r="H30" s="8" t="n">
        <x:v>5</x:v>
      </x:c>
      <x:c r="I30" s="8" t="n">
        <x:v>1251.2162847222</x:v>
      </x:c>
      <x:c r="J30" s="8" t="n">
        <x:v>58</x:v>
      </x:c>
      <x:c r="K30" s="8" t="n">
        <x:v>11</x:v>
      </x:c>
      <x:c r="L30" s="2"/>
      <x:c r="M30" s="2"/>
      <x:c r="N30" s="2"/>
    </x:row>
    <x:row r="31" ht="22" customHeight="1">
      <x:c r="A31" s="4" t="d">
        <x:v>2017-02-01T00:00:00.000Z</x:v>
      </x:c>
      <x:c r="B31" s="2" t="str">
        <x:v>CE</x:v>
      </x:c>
      <x:c r="C31" s="8" t="n">
        <x:v>13</x:v>
      </x:c>
      <x:c r="D31" s="8" t="n">
        <x:v>13</x:v>
      </x:c>
      <x:c r="E31" s="9" t="n">
        <x:v>2095.06</x:v>
      </x:c>
      <x:c r="F31" s="9" t="n">
        <x:v>388.47</x:v>
      </x:c>
      <x:c r="G31" s="8" t="n">
        <x:v>13</x:v>
      </x:c>
      <x:c r="H31" s="8" t="n">
        <x:v>1</x:v>
      </x:c>
      <x:c r="I31" s="8" t="n">
        <x:v>278.2859953704</x:v>
      </x:c>
      <x:c r="J31" s="8" t="n">
        <x:v>13</x:v>
      </x:c>
      <x:c r="K31" s="8" t="n">
        <x:v>1</x:v>
      </x:c>
      <x:c r="L31" s="2"/>
      <x:c r="M31" s="2"/>
      <x:c r="N31" s="2"/>
    </x:row>
    <x:row r="32" ht="22" customHeight="1">
      <x:c r="A32" s="4" t="d">
        <x:v>2017-02-01T00:00:00.000Z</x:v>
      </x:c>
      <x:c r="B32" s="2" t="str">
        <x:v>DF</x:v>
      </x:c>
      <x:c r="C32" s="8" t="n">
        <x:v>24</x:v>
      </x:c>
      <x:c r="D32" s="8" t="n">
        <x:v>21</x:v>
      </x:c>
      <x:c r="E32" s="9" t="n">
        <x:v>9857.81</x:v>
      </x:c>
      <x:c r="F32" s="9" t="n">
        <x:v>508.79</x:v>
      </x:c>
      <x:c r="G32" s="8" t="n">
        <x:v>21</x:v>
      </x:c>
      <x:c r="H32" s="8" t="n">
        <x:v>0</x:v>
      </x:c>
      <x:c r="I32" s="8" t="n">
        <x:v>243.8021527778</x:v>
      </x:c>
      <x:c r="J32" s="8" t="n">
        <x:v>20</x:v>
      </x:c>
      <x:c r="K32" s="8" t="n">
        <x:v>0</x:v>
      </x:c>
      <x:c r="L32" s="2"/>
      <x:c r="M32" s="2"/>
      <x:c r="N32" s="2"/>
    </x:row>
    <x:row r="33" ht="22" customHeight="1">
      <x:c r="A33" s="4" t="d">
        <x:v>2017-02-01T00:00:00.000Z</x:v>
      </x:c>
      <x:c r="B33" s="2" t="str">
        <x:v>ES</x:v>
      </x:c>
      <x:c r="C33" s="8" t="n">
        <x:v>34</x:v>
      </x:c>
      <x:c r="D33" s="8" t="n">
        <x:v>31</x:v>
      </x:c>
      <x:c r="E33" s="9" t="n">
        <x:v>3894.59</x:v>
      </x:c>
      <x:c r="F33" s="9" t="n">
        <x:v>696.12</x:v>
      </x:c>
      <x:c r="G33" s="8" t="n">
        <x:v>31</x:v>
      </x:c>
      <x:c r="H33" s="8" t="n">
        <x:v>2</x:v>
      </x:c>
      <x:c r="I33" s="8" t="n">
        <x:v>640.3652777778</x:v>
      </x:c>
      <x:c r="J33" s="8" t="n">
        <x:v>29</x:v>
      </x:c>
      <x:c r="K33" s="8" t="n">
        <x:v>6</x:v>
      </x:c>
      <x:c r="L33" s="2"/>
      <x:c r="M33" s="14" t="str">
        <x:v>Источник: Olist / Kaggle.</x:v>
      </x:c>
      <x:c r="N33" s="14"/>
    </x:row>
    <x:row r="34" ht="22" customHeight="1">
      <x:c r="A34" s="4" t="d">
        <x:v>2017-02-01T00:00:00.000Z</x:v>
      </x:c>
      <x:c r="B34" s="2" t="str">
        <x:v>GO</x:v>
      </x:c>
      <x:c r="C34" s="8" t="n">
        <x:v>27</x:v>
      </x:c>
      <x:c r="D34" s="8" t="n">
        <x:v>24</x:v>
      </x:c>
      <x:c r="E34" s="9" t="n">
        <x:v>2240.06</x:v>
      </x:c>
      <x:c r="F34" s="9" t="n">
        <x:v>615.48</x:v>
      </x:c>
      <x:c r="G34" s="8" t="n">
        <x:v>24</x:v>
      </x:c>
      <x:c r="H34" s="8" t="n">
        <x:v>1</x:v>
      </x:c>
      <x:c r="I34" s="8" t="n">
        <x:v>534.9363773148</x:v>
      </x:c>
      <x:c r="J34" s="8" t="n">
        <x:v>24</x:v>
      </x:c>
      <x:c r="K34" s="8" t="n">
        <x:v>3</x:v>
      </x:c>
      <x:c r="L34" s="2"/>
      <x:c r="M34" s="14" t="str">
        <x:v>SQL: analytics.monthly_state.</x:v>
      </x:c>
      <x:c r="N34" s="14"/>
    </x:row>
    <x:row r="35" ht="22" customHeight="1">
      <x:c r="A35" s="4" t="d">
        <x:v>2017-02-01T00:00:00.000Z</x:v>
      </x:c>
      <x:c r="B35" s="2" t="str">
        <x:v>MA</x:v>
      </x:c>
      <x:c r="C35" s="8" t="n">
        <x:v>11</x:v>
      </x:c>
      <x:c r="D35" s="8" t="n">
        <x:v>11</x:v>
      </x:c>
      <x:c r="E35" s="9" t="n">
        <x:v>895.28</x:v>
      </x:c>
      <x:c r="F35" s="9" t="n">
        <x:v>299.95</x:v>
      </x:c>
      <x:c r="G35" s="8" t="n">
        <x:v>11</x:v>
      </x:c>
      <x:c r="H35" s="8" t="n">
        <x:v>0</x:v>
      </x:c>
      <x:c r="I35" s="8" t="n">
        <x:v>171.0934027778</x:v>
      </x:c>
      <x:c r="J35" s="8" t="n">
        <x:v>11</x:v>
      </x:c>
      <x:c r="K35" s="8" t="n">
        <x:v>0</x:v>
      </x:c>
      <x:c r="L35" s="2"/>
      <x:c r="M35" s="14" t="str">
        <x:v>2017-01–2018-07. Не выручка Olist.</x:v>
      </x:c>
      <x:c r="N35" s="14"/>
    </x:row>
    <x:row r="36" ht="22" customHeight="1">
      <x:c r="A36" s="4" t="d">
        <x:v>2017-02-01T00:00:00.000Z</x:v>
      </x:c>
      <x:c r="B36" s="2" t="str">
        <x:v>MG</x:v>
      </x:c>
      <x:c r="C36" s="8" t="n">
        <x:v>259</x:v>
      </x:c>
      <x:c r="D36" s="8" t="n">
        <x:v>241</x:v>
      </x:c>
      <x:c r="E36" s="9" t="n">
        <x:v>28561.32</x:v>
      </x:c>
      <x:c r="F36" s="9" t="n">
        <x:v>5356.88</x:v>
      </x:c>
      <x:c r="G36" s="8" t="n">
        <x:v>241</x:v>
      </x:c>
      <x:c r="H36" s="8" t="n">
        <x:v>2</x:v>
      </x:c>
      <x:c r="I36" s="8" t="n">
        <x:v>2955.1128935185</x:v>
      </x:c>
      <x:c r="J36" s="8" t="n">
        <x:v>241</x:v>
      </x:c>
      <x:c r="K36" s="8" t="n">
        <x:v>33</x:v>
      </x:c>
      <x:c r="L36" s="2"/>
      <x:c r="M36" s="14" t="str">
        <x:v>https://www.kaggle.com/datasets/olistbr/brazilian-ecommerce</x:v>
      </x:c>
      <x:c r="N36" s="14"/>
    </x:row>
    <x:row r="37" ht="22" customHeight="1">
      <x:c r="A37" s="4" t="d">
        <x:v>2017-02-01T00:00:00.000Z</x:v>
      </x:c>
      <x:c r="B37" s="2" t="str">
        <x:v>MS</x:v>
      </x:c>
      <x:c r="C37" s="8" t="n">
        <x:v>11</x:v>
      </x:c>
      <x:c r="D37" s="8" t="n">
        <x:v>11</x:v>
      </x:c>
      <x:c r="E37" s="9" t="n">
        <x:v>7519.79</x:v>
      </x:c>
      <x:c r="F37" s="9" t="n">
        <x:v>391.15</x:v>
      </x:c>
      <x:c r="G37" s="8" t="n">
        <x:v>11</x:v>
      </x:c>
      <x:c r="H37" s="8" t="n">
        <x:v>0</x:v>
      </x:c>
      <x:c r="I37" s="8" t="n">
        <x:v>218.7606597222</x:v>
      </x:c>
      <x:c r="J37" s="8" t="n">
        <x:v>11</x:v>
      </x:c>
      <x:c r="K37" s="8" t="n">
        <x:v>0</x:v>
      </x:c>
      <x:c r="L37" s="2"/>
      <x:c r="M37" s="2"/>
      <x:c r="N37" s="2"/>
    </x:row>
    <x:row r="38" ht="22" customHeight="1">
      <x:c r="A38" s="4" t="d">
        <x:v>2017-02-01T00:00:00.000Z</x:v>
      </x:c>
      <x:c r="B38" s="2" t="str">
        <x:v>MT</x:v>
      </x:c>
      <x:c r="C38" s="8" t="n">
        <x:v>17</x:v>
      </x:c>
      <x:c r="D38" s="8" t="n">
        <x:v>17</x:v>
      </x:c>
      <x:c r="E38" s="9" t="n">
        <x:v>2988.4</x:v>
      </x:c>
      <x:c r="F38" s="9" t="n">
        <x:v>594.96</x:v>
      </x:c>
      <x:c r="G38" s="8" t="n">
        <x:v>17</x:v>
      </x:c>
      <x:c r="H38" s="8" t="n">
        <x:v>0</x:v>
      </x:c>
      <x:c r="I38" s="8" t="n">
        <x:v>311.8450231481</x:v>
      </x:c>
      <x:c r="J38" s="8" t="n">
        <x:v>17</x:v>
      </x:c>
      <x:c r="K38" s="8" t="n">
        <x:v>6</x:v>
      </x:c>
      <x:c r="L38" s="2"/>
      <x:c r="M38" s="2"/>
      <x:c r="N38" s="2"/>
    </x:row>
    <x:row r="39" ht="22" customHeight="1">
      <x:c r="A39" s="4" t="d">
        <x:v>2017-02-01T00:00:00.000Z</x:v>
      </x:c>
      <x:c r="B39" s="2" t="str">
        <x:v>PA</x:v>
      </x:c>
      <x:c r="C39" s="8" t="n">
        <x:v>25</x:v>
      </x:c>
      <x:c r="D39" s="8" t="n">
        <x:v>24</x:v>
      </x:c>
      <x:c r="E39" s="9" t="n">
        <x:v>9602.59</x:v>
      </x:c>
      <x:c r="F39" s="9" t="n">
        <x:v>1002.11</x:v>
      </x:c>
      <x:c r="G39" s="8" t="n">
        <x:v>24</x:v>
      </x:c>
      <x:c r="H39" s="8" t="n">
        <x:v>0</x:v>
      </x:c>
      <x:c r="I39" s="8" t="n">
        <x:v>461.5044097222</x:v>
      </x:c>
      <x:c r="J39" s="8" t="n">
        <x:v>24</x:v>
      </x:c>
      <x:c r="K39" s="8" t="n">
        <x:v>1</x:v>
      </x:c>
      <x:c r="L39" s="2"/>
      <x:c r="M39" s="2"/>
      <x:c r="N39" s="2"/>
    </x:row>
    <x:row r="40" ht="22" customHeight="1">
      <x:c r="A40" s="4" t="d">
        <x:v>2017-02-01T00:00:00.000Z</x:v>
      </x:c>
      <x:c r="B40" s="2" t="str">
        <x:v>PB</x:v>
      </x:c>
      <x:c r="C40" s="8" t="n">
        <x:v>12</x:v>
      </x:c>
      <x:c r="D40" s="8" t="n">
        <x:v>11</x:v>
      </x:c>
      <x:c r="E40" s="9" t="n">
        <x:v>1899.83</x:v>
      </x:c>
      <x:c r="F40" s="9" t="n">
        <x:v>348.48</x:v>
      </x:c>
      <x:c r="G40" s="8" t="n">
        <x:v>11</x:v>
      </x:c>
      <x:c r="H40" s="8" t="n">
        <x:v>1</x:v>
      </x:c>
      <x:c r="I40" s="8" t="n">
        <x:v>226.4055555556</x:v>
      </x:c>
      <x:c r="J40" s="8" t="n">
        <x:v>10</x:v>
      </x:c>
      <x:c r="K40" s="8" t="n">
        <x:v>1</x:v>
      </x:c>
      <x:c r="L40" s="2"/>
      <x:c r="M40" s="2"/>
      <x:c r="N40" s="2"/>
    </x:row>
    <x:row r="41" ht="22" customHeight="1">
      <x:c r="A41" s="4" t="d">
        <x:v>2017-02-01T00:00:00.000Z</x:v>
      </x:c>
      <x:c r="B41" s="2" t="str">
        <x:v>PE</x:v>
      </x:c>
      <x:c r="C41" s="8" t="n">
        <x:v>21</x:v>
      </x:c>
      <x:c r="D41" s="8" t="n">
        <x:v>20</x:v>
      </x:c>
      <x:c r="E41" s="9" t="n">
        <x:v>2781.91</x:v>
      </x:c>
      <x:c r="F41" s="9" t="n">
        <x:v>538.11</x:v>
      </x:c>
      <x:c r="G41" s="8" t="n">
        <x:v>20</x:v>
      </x:c>
      <x:c r="H41" s="8" t="n">
        <x:v>1</x:v>
      </x:c>
      <x:c r="I41" s="8" t="n">
        <x:v>371.9820601852</x:v>
      </x:c>
      <x:c r="J41" s="8" t="n">
        <x:v>20</x:v>
      </x:c>
      <x:c r="K41" s="8" t="n">
        <x:v>2</x:v>
      </x:c>
      <x:c r="L41" s="2"/>
      <x:c r="M41" s="2"/>
      <x:c r="N41" s="2"/>
    </x:row>
    <x:row r="42" ht="22" customHeight="1">
      <x:c r="A42" s="4" t="d">
        <x:v>2017-02-01T00:00:00.000Z</x:v>
      </x:c>
      <x:c r="B42" s="2" t="str">
        <x:v>PI</x:v>
      </x:c>
      <x:c r="C42" s="8" t="n">
        <x:v>12</x:v>
      </x:c>
      <x:c r="D42" s="8" t="n">
        <x:v>10</x:v>
      </x:c>
      <x:c r="E42" s="9" t="n">
        <x:v>3016.69</x:v>
      </x:c>
      <x:c r="F42" s="9" t="n">
        <x:v>488.38</x:v>
      </x:c>
      <x:c r="G42" s="8" t="n">
        <x:v>10</x:v>
      </x:c>
      <x:c r="H42" s="8" t="n">
        <x:v>0</x:v>
      </x:c>
      <x:c r="I42" s="8" t="n">
        <x:v>187.771412037</x:v>
      </x:c>
      <x:c r="J42" s="8" t="n">
        <x:v>10</x:v>
      </x:c>
      <x:c r="K42" s="8" t="n">
        <x:v>1</x:v>
      </x:c>
      <x:c r="L42" s="2"/>
      <x:c r="M42" s="2"/>
      <x:c r="N42" s="2"/>
    </x:row>
    <x:row r="43" ht="22" customHeight="1">
      <x:c r="A43" s="4" t="d">
        <x:v>2017-02-01T00:00:00.000Z</x:v>
      </x:c>
      <x:c r="B43" s="2" t="str">
        <x:v>PR</x:v>
      </x:c>
      <x:c r="C43" s="8" t="n">
        <x:v>118</x:v>
      </x:c>
      <x:c r="D43" s="8" t="n">
        <x:v>110</x:v>
      </x:c>
      <x:c r="E43" s="9" t="n">
        <x:v>17955.81</x:v>
      </x:c>
      <x:c r="F43" s="9" t="n">
        <x:v>2656.89</x:v>
      </x:c>
      <x:c r="G43" s="8" t="n">
        <x:v>110</x:v>
      </x:c>
      <x:c r="H43" s="8" t="n">
        <x:v>3</x:v>
      </x:c>
      <x:c r="I43" s="8" t="n">
        <x:v>1525.2719444444</x:v>
      </x:c>
      <x:c r="J43" s="8" t="n">
        <x:v>109</x:v>
      </x:c>
      <x:c r="K43" s="8" t="n">
        <x:v>16</x:v>
      </x:c>
      <x:c r="L43" s="2"/>
      <x:c r="M43" s="2"/>
      <x:c r="N43" s="2"/>
    </x:row>
    <x:row r="44" ht="22" customHeight="1">
      <x:c r="A44" s="4" t="d">
        <x:v>2017-02-01T00:00:00.000Z</x:v>
      </x:c>
      <x:c r="B44" s="2" t="str">
        <x:v>RJ</x:v>
      </x:c>
      <x:c r="C44" s="8" t="n">
        <x:v>254</x:v>
      </x:c>
      <x:c r="D44" s="8" t="n">
        <x:v>230</x:v>
      </x:c>
      <x:c r="E44" s="9" t="n">
        <x:v>29970.4</x:v>
      </x:c>
      <x:c r="F44" s="9" t="n">
        <x:v>5288.36</x:v>
      </x:c>
      <x:c r="G44" s="8" t="n">
        <x:v>230</x:v>
      </x:c>
      <x:c r="H44" s="8" t="n">
        <x:v>8</x:v>
      </x:c>
      <x:c r="I44" s="8" t="n">
        <x:v>2857.9811342593</x:v>
      </x:c>
      <x:c r="J44" s="8" t="n">
        <x:v>228</x:v>
      </x:c>
      <x:c r="K44" s="8" t="n">
        <x:v>27</x:v>
      </x:c>
      <x:c r="L44" s="2"/>
      <x:c r="M44" s="2"/>
      <x:c r="N44" s="2"/>
    </x:row>
    <x:row r="45" ht="22" customHeight="1">
      <x:c r="A45" s="4" t="d">
        <x:v>2017-02-01T00:00:00.000Z</x:v>
      </x:c>
      <x:c r="B45" s="2" t="str">
        <x:v>RN</x:v>
      </x:c>
      <x:c r="C45" s="8" t="n">
        <x:v>8</x:v>
      </x:c>
      <x:c r="D45" s="8" t="n">
        <x:v>8</x:v>
      </x:c>
      <x:c r="E45" s="9" t="n">
        <x:v>398.9</x:v>
      </x:c>
      <x:c r="F45" s="9" t="n">
        <x:v>249.71</x:v>
      </x:c>
      <x:c r="G45" s="8" t="n">
        <x:v>8</x:v>
      </x:c>
      <x:c r="H45" s="8" t="n">
        <x:v>0</x:v>
      </x:c>
      <x:c r="I45" s="8" t="n">
        <x:v>142.4295486111</x:v>
      </x:c>
      <x:c r="J45" s="8" t="n">
        <x:v>8</x:v>
      </x:c>
      <x:c r="K45" s="8" t="n">
        <x:v>0</x:v>
      </x:c>
      <x:c r="L45" s="2"/>
      <x:c r="M45" s="2"/>
      <x:c r="N45" s="2"/>
    </x:row>
    <x:row r="46" ht="22" customHeight="1">
      <x:c r="A46" s="4" t="d">
        <x:v>2017-02-01T00:00:00.000Z</x:v>
      </x:c>
      <x:c r="B46" s="2" t="str">
        <x:v>RO</x:v>
      </x:c>
      <x:c r="C46" s="8" t="n">
        <x:v>11</x:v>
      </x:c>
      <x:c r="D46" s="8" t="n">
        <x:v>9</x:v>
      </x:c>
      <x:c r="E46" s="9" t="n">
        <x:v>1446.26</x:v>
      </x:c>
      <x:c r="F46" s="9" t="n">
        <x:v>391.61</x:v>
      </x:c>
      <x:c r="G46" s="8" t="n">
        <x:v>9</x:v>
      </x:c>
      <x:c r="H46" s="8" t="n">
        <x:v>0</x:v>
      </x:c>
      <x:c r="I46" s="8" t="n">
        <x:v>159.4304976852</x:v>
      </x:c>
      <x:c r="J46" s="8" t="n">
        <x:v>9</x:v>
      </x:c>
      <x:c r="K46" s="8" t="n">
        <x:v>1</x:v>
      </x:c>
      <x:c r="L46" s="2"/>
      <x:c r="M46" s="2"/>
      <x:c r="N46" s="2"/>
    </x:row>
    <x:row r="47" ht="22" customHeight="1">
      <x:c r="A47" s="4" t="d">
        <x:v>2017-02-01T00:00:00.000Z</x:v>
      </x:c>
      <x:c r="B47" s="2" t="str">
        <x:v>RR</x:v>
      </x:c>
      <x:c r="C47" s="8" t="n">
        <x:v>2</x:v>
      </x:c>
      <x:c r="D47" s="8" t="n">
        <x:v>2</x:v>
      </x:c>
      <x:c r="E47" s="9" t="n">
        <x:v>50.8</x:v>
      </x:c>
      <x:c r="F47" s="9" t="n">
        <x:v>57.94</x:v>
      </x:c>
      <x:c r="G47" s="8" t="n">
        <x:v>2</x:v>
      </x:c>
      <x:c r="H47" s="8" t="n">
        <x:v>0</x:v>
      </x:c>
      <x:c r="I47" s="8" t="n">
        <x:v>18.6055671296</x:v>
      </x:c>
      <x:c r="J47" s="8" t="n">
        <x:v>2</x:v>
      </x:c>
      <x:c r="K47" s="8" t="n">
        <x:v>0</x:v>
      </x:c>
      <x:c r="L47" s="2"/>
      <x:c r="M47" s="2"/>
      <x:c r="N47" s="2"/>
    </x:row>
    <x:row r="48" ht="22" customHeight="1">
      <x:c r="A48" s="4" t="d">
        <x:v>2017-02-01T00:00:00.000Z</x:v>
      </x:c>
      <x:c r="B48" s="2" t="str">
        <x:v>RS</x:v>
      </x:c>
      <x:c r="C48" s="8" t="n">
        <x:v>105</x:v>
      </x:c>
      <x:c r="D48" s="8" t="n">
        <x:v>100</x:v>
      </x:c>
      <x:c r="E48" s="9" t="n">
        <x:v>15003.74</x:v>
      </x:c>
      <x:c r="F48" s="9" t="n">
        <x:v>2387.71</x:v>
      </x:c>
      <x:c r="G48" s="8" t="n">
        <x:v>100</x:v>
      </x:c>
      <x:c r="H48" s="8" t="n">
        <x:v>3</x:v>
      </x:c>
      <x:c r="I48" s="8" t="n">
        <x:v>1470.4046180556</x:v>
      </x:c>
      <x:c r="J48" s="8" t="n">
        <x:v>100</x:v>
      </x:c>
      <x:c r="K48" s="8" t="n">
        <x:v>7</x:v>
      </x:c>
      <x:c r="L48" s="2"/>
      <x:c r="M48" s="2"/>
      <x:c r="N48" s="2"/>
    </x:row>
    <x:row r="49" ht="22" customHeight="1">
      <x:c r="A49" s="4" t="d">
        <x:v>2017-02-01T00:00:00.000Z</x:v>
      </x:c>
      <x:c r="B49" s="2" t="str">
        <x:v>SC</x:v>
      </x:c>
      <x:c r="C49" s="8" t="n">
        <x:v>59</x:v>
      </x:c>
      <x:c r="D49" s="8" t="n">
        <x:v>57</x:v>
      </x:c>
      <x:c r="E49" s="9" t="n">
        <x:v>5977.85</x:v>
      </x:c>
      <x:c r="F49" s="9" t="n">
        <x:v>1127.83</x:v>
      </x:c>
      <x:c r="G49" s="8" t="n">
        <x:v>57</x:v>
      </x:c>
      <x:c r="H49" s="8" t="n">
        <x:v>3</x:v>
      </x:c>
      <x:c r="I49" s="8" t="n">
        <x:v>898.4870717593</x:v>
      </x:c>
      <x:c r="J49" s="8" t="n">
        <x:v>55</x:v>
      </x:c>
      <x:c r="K49" s="8" t="n">
        <x:v>7</x:v>
      </x:c>
      <x:c r="L49" s="2"/>
      <x:c r="M49" s="2"/>
      <x:c r="N49" s="2"/>
    </x:row>
    <x:row r="50" ht="22" customHeight="1">
      <x:c r="A50" s="4" t="d">
        <x:v>2017-02-01T00:00:00.000Z</x:v>
      </x:c>
      <x:c r="B50" s="2" t="str">
        <x:v>SE</x:v>
      </x:c>
      <x:c r="C50" s="8" t="n">
        <x:v>12</x:v>
      </x:c>
      <x:c r="D50" s="8" t="n">
        <x:v>12</x:v>
      </x:c>
      <x:c r="E50" s="9" t="n">
        <x:v>1861.82</x:v>
      </x:c>
      <x:c r="F50" s="9" t="n">
        <x:v>543.16</x:v>
      </x:c>
      <x:c r="G50" s="8" t="n">
        <x:v>12</x:v>
      </x:c>
      <x:c r="H50" s="8" t="n">
        <x:v>0</x:v>
      </x:c>
      <x:c r="I50" s="8" t="n">
        <x:v>224.5939351852</x:v>
      </x:c>
      <x:c r="J50" s="8" t="n">
        <x:v>12</x:v>
      </x:c>
      <x:c r="K50" s="8" t="n">
        <x:v>2</x:v>
      </x:c>
      <x:c r="L50" s="2"/>
      <x:c r="M50" s="2"/>
      <x:c r="N50" s="2"/>
    </x:row>
    <x:row r="51" ht="22" customHeight="1">
      <x:c r="A51" s="4" t="d">
        <x:v>2017-02-01T00:00:00.000Z</x:v>
      </x:c>
      <x:c r="B51" s="2" t="str">
        <x:v>SP</x:v>
      </x:c>
      <x:c r="C51" s="8" t="n">
        <x:v>654</x:v>
      </x:c>
      <x:c r="D51" s="8" t="n">
        <x:v>601</x:v>
      </x:c>
      <x:c r="E51" s="9" t="n">
        <x:v>73928.94</x:v>
      </x:c>
      <x:c r="F51" s="9" t="n">
        <x:v>10507.35</x:v>
      </x:c>
      <x:c r="G51" s="8" t="n">
        <x:v>601</x:v>
      </x:c>
      <x:c r="H51" s="8" t="n">
        <x:v>18</x:v>
      </x:c>
      <x:c r="I51" s="8" t="n">
        <x:v>5914.1076041667</x:v>
      </x:c>
      <x:c r="J51" s="8" t="n">
        <x:v>600</x:v>
      </x:c>
      <x:c r="K51" s="8" t="n">
        <x:v>56</x:v>
      </x:c>
      <x:c r="L51" s="2"/>
      <x:c r="M51" s="2"/>
      <x:c r="N51" s="2"/>
    </x:row>
    <x:row r="52" ht="22" customHeight="1">
      <x:c r="A52" s="4" t="d">
        <x:v>2017-02-01T00:00:00.000Z</x:v>
      </x:c>
      <x:c r="B52" s="2" t="str">
        <x:v>TO</x:v>
      </x:c>
      <x:c r="C52" s="8" t="n">
        <x:v>7</x:v>
      </x:c>
      <x:c r="D52" s="8" t="n">
        <x:v>7</x:v>
      </x:c>
      <x:c r="E52" s="9" t="n">
        <x:v>765.6</x:v>
      </x:c>
      <x:c r="F52" s="9" t="n">
        <x:v>173.95</x:v>
      </x:c>
      <x:c r="G52" s="8" t="n">
        <x:v>7</x:v>
      </x:c>
      <x:c r="H52" s="8" t="n">
        <x:v>0</x:v>
      </x:c>
      <x:c r="I52" s="8" t="n">
        <x:v>112.6085185185</x:v>
      </x:c>
      <x:c r="J52" s="8" t="n">
        <x:v>7</x:v>
      </x:c>
      <x:c r="K52" s="8" t="n">
        <x:v>0</x:v>
      </x:c>
      <x:c r="L52" s="2"/>
      <x:c r="M52" s="2"/>
      <x:c r="N52" s="2"/>
    </x:row>
    <x:row r="53" ht="22" customHeight="1">
      <x:c r="A53" s="4" t="d">
        <x:v>2017-03-01T00:00:00.000Z</x:v>
      </x:c>
      <x:c r="B53" s="2" t="str">
        <x:v>AC</x:v>
      </x:c>
      <x:c r="C53" s="8" t="n">
        <x:v>2</x:v>
      </x:c>
      <x:c r="D53" s="8" t="n">
        <x:v>2</x:v>
      </x:c>
      <x:c r="E53" s="9" t="n">
        <x:v>455.99</x:v>
      </x:c>
      <x:c r="F53" s="9" t="n">
        <x:v>74.19</x:v>
      </x:c>
      <x:c r="G53" s="8" t="n">
        <x:v>2</x:v>
      </x:c>
      <x:c r="H53" s="8" t="n">
        <x:v>0</x:v>
      </x:c>
      <x:c r="I53" s="8" t="n">
        <x:v>40.3338541667</x:v>
      </x:c>
      <x:c r="J53" s="8" t="n">
        <x:v>2</x:v>
      </x:c>
      <x:c r="K53" s="8" t="n">
        <x:v>0</x:v>
      </x:c>
      <x:c r="L53" s="2"/>
      <x:c r="M53" s="2"/>
      <x:c r="N53" s="2"/>
    </x:row>
    <x:row r="54" ht="22" customHeight="1">
      <x:c r="A54" s="4" t="d">
        <x:v>2017-03-01T00:00:00.000Z</x:v>
      </x:c>
      <x:c r="B54" s="2" t="str">
        <x:v>AL</x:v>
      </x:c>
      <x:c r="C54" s="8" t="n">
        <x:v>10</x:v>
      </x:c>
      <x:c r="D54" s="8" t="n">
        <x:v>10</x:v>
      </x:c>
      <x:c r="E54" s="9" t="n">
        <x:v>1174.79</x:v>
      </x:c>
      <x:c r="F54" s="9" t="n">
        <x:v>246.71</x:v>
      </x:c>
      <x:c r="G54" s="8" t="n">
        <x:v>10</x:v>
      </x:c>
      <x:c r="H54" s="8" t="n">
        <x:v>2</x:v>
      </x:c>
      <x:c r="I54" s="8" t="n">
        <x:v>235.065162037</x:v>
      </x:c>
      <x:c r="J54" s="8" t="n">
        <x:v>10</x:v>
      </x:c>
      <x:c r="K54" s="8" t="n">
        <x:v>2</x:v>
      </x:c>
      <x:c r="L54" s="2"/>
      <x:c r="M54" s="2"/>
      <x:c r="N54" s="2"/>
    </x:row>
    <x:row r="55" ht="22" customHeight="1">
      <x:c r="A55" s="4" t="d">
        <x:v>2017-03-01T00:00:00.000Z</x:v>
      </x:c>
      <x:c r="B55" s="2" t="str">
        <x:v>AM</x:v>
      </x:c>
      <x:c r="C55" s="8" t="n">
        <x:v>5</x:v>
      </x:c>
      <x:c r="D55" s="8" t="n">
        <x:v>5</x:v>
      </x:c>
      <x:c r="E55" s="9" t="n">
        <x:v>631.39</x:v>
      </x:c>
      <x:c r="F55" s="9" t="n">
        <x:v>162</x:v>
      </x:c>
      <x:c r="G55" s="8" t="n">
        <x:v>5</x:v>
      </x:c>
      <x:c r="H55" s="8" t="n">
        <x:v>0</x:v>
      </x:c>
      <x:c r="I55" s="8" t="n">
        <x:v>147.4746643519</x:v>
      </x:c>
      <x:c r="J55" s="8" t="n">
        <x:v>5</x:v>
      </x:c>
      <x:c r="K55" s="8" t="n">
        <x:v>0</x:v>
      </x:c>
      <x:c r="L55" s="2"/>
      <x:c r="M55" s="2"/>
      <x:c r="N55" s="2"/>
    </x:row>
    <x:row r="56" ht="22" customHeight="1">
      <x:c r="A56" s="4" t="d">
        <x:v>2017-03-01T00:00:00.000Z</x:v>
      </x:c>
      <x:c r="B56" s="2" t="str">
        <x:v>AP</x:v>
      </x:c>
      <x:c r="C56" s="8" t="n">
        <x:v>3</x:v>
      </x:c>
      <x:c r="D56" s="8" t="n">
        <x:v>3</x:v>
      </x:c>
      <x:c r="E56" s="9" t="n">
        <x:v>303.79</x:v>
      </x:c>
      <x:c r="F56" s="9" t="n">
        <x:v>109.1</x:v>
      </x:c>
      <x:c r="G56" s="8" t="n">
        <x:v>3</x:v>
      </x:c>
      <x:c r="H56" s="8" t="n">
        <x:v>2</x:v>
      </x:c>
      <x:c r="I56" s="8" t="n">
        <x:v>236.5360300926</x:v>
      </x:c>
      <x:c r="J56" s="8" t="n">
        <x:v>3</x:v>
      </x:c>
      <x:c r="K56" s="8" t="n">
        <x:v>0</x:v>
      </x:c>
      <x:c r="L56" s="2"/>
      <x:c r="M56" s="2"/>
      <x:c r="N56" s="2"/>
    </x:row>
    <x:row r="57" ht="22" customHeight="1">
      <x:c r="A57" s="4" t="d">
        <x:v>2017-03-01T00:00:00.000Z</x:v>
      </x:c>
      <x:c r="B57" s="2" t="str">
        <x:v>BA</x:v>
      </x:c>
      <x:c r="C57" s="8" t="n">
        <x:v>91</x:v>
      </x:c>
      <x:c r="D57" s="8" t="n">
        <x:v>87</x:v>
      </x:c>
      <x:c r="E57" s="9" t="n">
        <x:v>15468.32</x:v>
      </x:c>
      <x:c r="F57" s="9" t="n">
        <x:v>2845.93</x:v>
      </x:c>
      <x:c r="G57" s="8" t="n">
        <x:v>87</x:v>
      </x:c>
      <x:c r="H57" s="8" t="n">
        <x:v>7</x:v>
      </x:c>
      <x:c r="I57" s="8" t="n">
        <x:v>1775.3436458333</x:v>
      </x:c>
      <x:c r="J57" s="8" t="n">
        <x:v>85</x:v>
      </x:c>
      <x:c r="K57" s="8" t="n">
        <x:v>19</x:v>
      </x:c>
      <x:c r="L57" s="2"/>
      <x:c r="M57" s="2"/>
      <x:c r="N57" s="2"/>
    </x:row>
    <x:row r="58" ht="22" customHeight="1">
      <x:c r="A58" s="4" t="d">
        <x:v>2017-03-01T00:00:00.000Z</x:v>
      </x:c>
      <x:c r="B58" s="2" t="str">
        <x:v>CE</x:v>
      </x:c>
      <x:c r="C58" s="8" t="n">
        <x:v>28</x:v>
      </x:c>
      <x:c r="D58" s="8" t="n">
        <x:v>26</x:v>
      </x:c>
      <x:c r="E58" s="9" t="n">
        <x:v>5969.98</x:v>
      </x:c>
      <x:c r="F58" s="9" t="n">
        <x:v>1188.86</x:v>
      </x:c>
      <x:c r="G58" s="8" t="n">
        <x:v>26</x:v>
      </x:c>
      <x:c r="H58" s="8" t="n">
        <x:v>8</x:v>
      </x:c>
      <x:c r="I58" s="8" t="n">
        <x:v>753.6757523148</x:v>
      </x:c>
      <x:c r="J58" s="8" t="n">
        <x:v>26</x:v>
      </x:c>
      <x:c r="K58" s="8" t="n">
        <x:v>9</x:v>
      </x:c>
      <x:c r="L58" s="2"/>
      <x:c r="M58" s="2"/>
      <x:c r="N58" s="2"/>
    </x:row>
    <x:row r="59" ht="22" customHeight="1">
      <x:c r="A59" s="4" t="d">
        <x:v>2017-03-01T00:00:00.000Z</x:v>
      </x:c>
      <x:c r="B59" s="2" t="str">
        <x:v>DF</x:v>
      </x:c>
      <x:c r="C59" s="8" t="n">
        <x:v>57</x:v>
      </x:c>
      <x:c r="D59" s="8" t="n">
        <x:v>54</x:v>
      </x:c>
      <x:c r="E59" s="9" t="n">
        <x:v>6803.97</x:v>
      </x:c>
      <x:c r="F59" s="9" t="n">
        <x:v>1153.32</x:v>
      </x:c>
      <x:c r="G59" s="8" t="n">
        <x:v>54</x:v>
      </x:c>
      <x:c r="H59" s="8" t="n">
        <x:v>0</x:v>
      </x:c>
      <x:c r="I59" s="8" t="n">
        <x:v>643.5123842593</x:v>
      </x:c>
      <x:c r="J59" s="8" t="n">
        <x:v>54</x:v>
      </x:c>
      <x:c r="K59" s="8" t="n">
        <x:v>6</x:v>
      </x:c>
      <x:c r="L59" s="2"/>
      <x:c r="M59" s="2"/>
      <x:c r="N59" s="2"/>
    </x:row>
    <x:row r="60" ht="22" customHeight="1">
      <x:c r="A60" s="4" t="d">
        <x:v>2017-03-01T00:00:00.000Z</x:v>
      </x:c>
      <x:c r="B60" s="2" t="str">
        <x:v>ES</x:v>
      </x:c>
      <x:c r="C60" s="8" t="n">
        <x:v>48</x:v>
      </x:c>
      <x:c r="D60" s="8" t="n">
        <x:v>47</x:v>
      </x:c>
      <x:c r="E60" s="9" t="n">
        <x:v>4932.91</x:v>
      </x:c>
      <x:c r="F60" s="9" t="n">
        <x:v>997.9</x:v>
      </x:c>
      <x:c r="G60" s="8" t="n">
        <x:v>47</x:v>
      </x:c>
      <x:c r="H60" s="8" t="n">
        <x:v>0</x:v>
      </x:c>
      <x:c r="I60" s="8" t="n">
        <x:v>452.6194791667</x:v>
      </x:c>
      <x:c r="J60" s="8" t="n">
        <x:v>47</x:v>
      </x:c>
      <x:c r="K60" s="8" t="n">
        <x:v>2</x:v>
      </x:c>
      <x:c r="L60" s="2"/>
      <x:c r="M60" s="2"/>
      <x:c r="N60" s="2"/>
    </x:row>
    <x:row r="61" ht="22" customHeight="1">
      <x:c r="A61" s="4" t="d">
        <x:v>2017-03-01T00:00:00.000Z</x:v>
      </x:c>
      <x:c r="B61" s="2" t="str">
        <x:v>GO</x:v>
      </x:c>
      <x:c r="C61" s="8" t="n">
        <x:v>53</x:v>
      </x:c>
      <x:c r="D61" s="8" t="n">
        <x:v>47</x:v>
      </x:c>
      <x:c r="E61" s="9" t="n">
        <x:v>8494.46</x:v>
      </x:c>
      <x:c r="F61" s="9" t="n">
        <x:v>1204.57</x:v>
      </x:c>
      <x:c r="G61" s="8" t="n">
        <x:v>47</x:v>
      </x:c>
      <x:c r="H61" s="8" t="n">
        <x:v>0</x:v>
      </x:c>
      <x:c r="I61" s="8" t="n">
        <x:v>674.5025694444</x:v>
      </x:c>
      <x:c r="J61" s="8" t="n">
        <x:v>47</x:v>
      </x:c>
      <x:c r="K61" s="8" t="n">
        <x:v>7</x:v>
      </x:c>
      <x:c r="L61" s="2"/>
      <x:c r="M61" s="2"/>
      <x:c r="N61" s="2"/>
    </x:row>
    <x:row r="62" ht="22" customHeight="1">
      <x:c r="A62" s="4" t="d">
        <x:v>2017-03-01T00:00:00.000Z</x:v>
      </x:c>
      <x:c r="B62" s="2" t="str">
        <x:v>MA</x:v>
      </x:c>
      <x:c r="C62" s="8" t="n">
        <x:v>24</x:v>
      </x:c>
      <x:c r="D62" s="8" t="n">
        <x:v>22</x:v>
      </x:c>
      <x:c r="E62" s="9" t="n">
        <x:v>1950.8</x:v>
      </x:c>
      <x:c r="F62" s="9" t="n">
        <x:v>771.35</x:v>
      </x:c>
      <x:c r="G62" s="8" t="n">
        <x:v>22</x:v>
      </x:c>
      <x:c r="H62" s="8" t="n">
        <x:v>4</x:v>
      </x:c>
      <x:c r="I62" s="8" t="n">
        <x:v>530.7298148148</x:v>
      </x:c>
      <x:c r="J62" s="8" t="n">
        <x:v>22</x:v>
      </x:c>
      <x:c r="K62" s="8" t="n">
        <x:v>6</x:v>
      </x:c>
      <x:c r="L62" s="2"/>
      <x:c r="M62" s="2"/>
      <x:c r="N62" s="2"/>
    </x:row>
    <x:row r="63" ht="22" customHeight="1">
      <x:c r="A63" s="4" t="d">
        <x:v>2017-03-01T00:00:00.000Z</x:v>
      </x:c>
      <x:c r="B63" s="2" t="str">
        <x:v>MG</x:v>
      </x:c>
      <x:c r="C63" s="8" t="n">
        <x:v>358</x:v>
      </x:c>
      <x:c r="D63" s="8" t="n">
        <x:v>343</x:v>
      </x:c>
      <x:c r="E63" s="9" t="n">
        <x:v>40847.08</x:v>
      </x:c>
      <x:c r="F63" s="9" t="n">
        <x:v>7646.78</x:v>
      </x:c>
      <x:c r="G63" s="8" t="n">
        <x:v>343</x:v>
      </x:c>
      <x:c r="H63" s="8" t="n">
        <x:v>8</x:v>
      </x:c>
      <x:c r="I63" s="8" t="n">
        <x:v>4001.3443055556</x:v>
      </x:c>
      <x:c r="J63" s="8" t="n">
        <x:v>340</x:v>
      </x:c>
      <x:c r="K63" s="8" t="n">
        <x:v>29</x:v>
      </x:c>
      <x:c r="L63" s="2"/>
      <x:c r="M63" s="2"/>
      <x:c r="N63" s="2"/>
    </x:row>
    <x:row r="64" ht="22" customHeight="1">
      <x:c r="A64" s="4" t="d">
        <x:v>2017-03-01T00:00:00.000Z</x:v>
      </x:c>
      <x:c r="B64" s="2" t="str">
        <x:v>MS</x:v>
      </x:c>
      <x:c r="C64" s="8" t="n">
        <x:v>20</x:v>
      </x:c>
      <x:c r="D64" s="8" t="n">
        <x:v>19</x:v>
      </x:c>
      <x:c r="E64" s="9" t="n">
        <x:v>6452.55</x:v>
      </x:c>
      <x:c r="F64" s="9" t="n">
        <x:v>540.35</x:v>
      </x:c>
      <x:c r="G64" s="8" t="n">
        <x:v>19</x:v>
      </x:c>
      <x:c r="H64" s="8" t="n">
        <x:v>0</x:v>
      </x:c>
      <x:c r="I64" s="8" t="n">
        <x:v>237.4074074074</x:v>
      </x:c>
      <x:c r="J64" s="8" t="n">
        <x:v>19</x:v>
      </x:c>
      <x:c r="K64" s="8" t="n">
        <x:v>1</x:v>
      </x:c>
      <x:c r="L64" s="2"/>
      <x:c r="M64" s="2"/>
      <x:c r="N64" s="2"/>
    </x:row>
    <x:row r="65" ht="22" customHeight="1">
      <x:c r="A65" s="4" t="d">
        <x:v>2017-03-01T00:00:00.000Z</x:v>
      </x:c>
      <x:c r="B65" s="2" t="str">
        <x:v>MT</x:v>
      </x:c>
      <x:c r="C65" s="8" t="n">
        <x:v>16</x:v>
      </x:c>
      <x:c r="D65" s="8" t="n">
        <x:v>16</x:v>
      </x:c>
      <x:c r="E65" s="9" t="n">
        <x:v>2157.09</x:v>
      </x:c>
      <x:c r="F65" s="9" t="n">
        <x:v>545.46</x:v>
      </x:c>
      <x:c r="G65" s="8" t="n">
        <x:v>16</x:v>
      </x:c>
      <x:c r="H65" s="8" t="n">
        <x:v>4</x:v>
      </x:c>
      <x:c r="I65" s="8" t="n">
        <x:v>463.4740972222</x:v>
      </x:c>
      <x:c r="J65" s="8" t="n">
        <x:v>16</x:v>
      </x:c>
      <x:c r="K65" s="8" t="n">
        <x:v>5</x:v>
      </x:c>
      <x:c r="L65" s="2"/>
      <x:c r="M65" s="2"/>
      <x:c r="N65" s="2"/>
    </x:row>
    <x:row r="66" ht="22" customHeight="1">
      <x:c r="A66" s="4" t="d">
        <x:v>2017-03-01T00:00:00.000Z</x:v>
      </x:c>
      <x:c r="B66" s="2" t="str">
        <x:v>PA</x:v>
      </x:c>
      <x:c r="C66" s="8" t="n">
        <x:v>36</x:v>
      </x:c>
      <x:c r="D66" s="8" t="n">
        <x:v>35</x:v>
      </x:c>
      <x:c r="E66" s="9" t="n">
        <x:v>7647.77</x:v>
      </x:c>
      <x:c r="F66" s="9" t="n">
        <x:v>1424.97</x:v>
      </x:c>
      <x:c r="G66" s="8" t="n">
        <x:v>35</x:v>
      </x:c>
      <x:c r="H66" s="8" t="n">
        <x:v>3</x:v>
      </x:c>
      <x:c r="I66" s="8" t="n">
        <x:v>892.1714236111</x:v>
      </x:c>
      <x:c r="J66" s="8" t="n">
        <x:v>35</x:v>
      </x:c>
      <x:c r="K66" s="8" t="n">
        <x:v>7</x:v>
      </x:c>
      <x:c r="L66" s="2"/>
      <x:c r="M66" s="2"/>
      <x:c r="N66" s="2"/>
    </x:row>
    <x:row r="67" ht="22" customHeight="1">
      <x:c r="A67" s="4" t="d">
        <x:v>2017-03-01T00:00:00.000Z</x:v>
      </x:c>
      <x:c r="B67" s="2" t="str">
        <x:v>PB</x:v>
      </x:c>
      <x:c r="C67" s="8" t="n">
        <x:v>16</x:v>
      </x:c>
      <x:c r="D67" s="8" t="n">
        <x:v>16</x:v>
      </x:c>
      <x:c r="E67" s="9" t="n">
        <x:v>4387.99</x:v>
      </x:c>
      <x:c r="F67" s="9" t="n">
        <x:v>548.42</x:v>
      </x:c>
      <x:c r="G67" s="8" t="n">
        <x:v>16</x:v>
      </x:c>
      <x:c r="H67" s="8" t="n">
        <x:v>1</x:v>
      </x:c>
      <x:c r="I67" s="8" t="n">
        <x:v>280.331412037</x:v>
      </x:c>
      <x:c r="J67" s="8" t="n">
        <x:v>16</x:v>
      </x:c>
      <x:c r="K67" s="8" t="n">
        <x:v>2</x:v>
      </x:c>
      <x:c r="L67" s="2"/>
      <x:c r="M67" s="2"/>
      <x:c r="N67" s="2"/>
    </x:row>
    <x:row r="68" ht="22" customHeight="1">
      <x:c r="A68" s="4" t="d">
        <x:v>2017-03-01T00:00:00.000Z</x:v>
      </x:c>
      <x:c r="B68" s="2" t="str">
        <x:v>PE</x:v>
      </x:c>
      <x:c r="C68" s="8" t="n">
        <x:v>45</x:v>
      </x:c>
      <x:c r="D68" s="8" t="n">
        <x:v>36</x:v>
      </x:c>
      <x:c r="E68" s="9" t="n">
        <x:v>5182.65</x:v>
      </x:c>
      <x:c r="F68" s="9" t="n">
        <x:v>1336.73</x:v>
      </x:c>
      <x:c r="G68" s="8" t="n">
        <x:v>36</x:v>
      </x:c>
      <x:c r="H68" s="8" t="n">
        <x:v>1</x:v>
      </x:c>
      <x:c r="I68" s="8" t="n">
        <x:v>619.8416666667</x:v>
      </x:c>
      <x:c r="J68" s="8" t="n">
        <x:v>36</x:v>
      </x:c>
      <x:c r="K68" s="8" t="n">
        <x:v>2</x:v>
      </x:c>
      <x:c r="L68" s="2"/>
      <x:c r="M68" s="2"/>
      <x:c r="N68" s="2"/>
    </x:row>
    <x:row r="69" ht="22" customHeight="1">
      <x:c r="A69" s="4" t="d">
        <x:v>2017-03-01T00:00:00.000Z</x:v>
      </x:c>
      <x:c r="B69" s="2" t="str">
        <x:v>PI</x:v>
      </x:c>
      <x:c r="C69" s="8" t="n">
        <x:v>13</x:v>
      </x:c>
      <x:c r="D69" s="8" t="n">
        <x:v>13</x:v>
      </x:c>
      <x:c r="E69" s="9" t="n">
        <x:v>2106.5</x:v>
      </x:c>
      <x:c r="F69" s="9" t="n">
        <x:v>530.25</x:v>
      </x:c>
      <x:c r="G69" s="8" t="n">
        <x:v>13</x:v>
      </x:c>
      <x:c r="H69" s="8" t="n">
        <x:v>3</x:v>
      </x:c>
      <x:c r="I69" s="8" t="n">
        <x:v>609.6618981481</x:v>
      </x:c>
      <x:c r="J69" s="8" t="n">
        <x:v>13</x:v>
      </x:c>
      <x:c r="K69" s="8" t="n">
        <x:v>1</x:v>
      </x:c>
      <x:c r="L69" s="2"/>
      <x:c r="M69" s="2"/>
      <x:c r="N69" s="2"/>
    </x:row>
    <x:row r="70" ht="22" customHeight="1">
      <x:c r="A70" s="4" t="d">
        <x:v>2017-03-01T00:00:00.000Z</x:v>
      </x:c>
      <x:c r="B70" s="2" t="str">
        <x:v>PR</x:v>
      </x:c>
      <x:c r="C70" s="8" t="n">
        <x:v>127</x:v>
      </x:c>
      <x:c r="D70" s="8" t="n">
        <x:v>121</x:v>
      </x:c>
      <x:c r="E70" s="9" t="n">
        <x:v>14638.9</x:v>
      </x:c>
      <x:c r="F70" s="9" t="n">
        <x:v>2337.3</x:v>
      </x:c>
      <x:c r="G70" s="8" t="n">
        <x:v>121</x:v>
      </x:c>
      <x:c r="H70" s="8" t="n">
        <x:v>5</x:v>
      </x:c>
      <x:c r="I70" s="8" t="n">
        <x:v>1402.7287731481</x:v>
      </x:c>
      <x:c r="J70" s="8" t="n">
        <x:v>121</x:v>
      </x:c>
      <x:c r="K70" s="8" t="n">
        <x:v>10</x:v>
      </x:c>
      <x:c r="L70" s="2"/>
      <x:c r="M70" s="2"/>
      <x:c r="N70" s="2"/>
    </x:row>
    <x:row r="71" ht="22" customHeight="1">
      <x:c r="A71" s="4" t="d">
        <x:v>2017-03-01T00:00:00.000Z</x:v>
      </x:c>
      <x:c r="B71" s="2" t="str">
        <x:v>RJ</x:v>
      </x:c>
      <x:c r="C71" s="8" t="n">
        <x:v>395</x:v>
      </x:c>
      <x:c r="D71" s="8" t="n">
        <x:v>370</x:v>
      </x:c>
      <x:c r="E71" s="9" t="n">
        <x:v>53373.91</x:v>
      </x:c>
      <x:c r="F71" s="9" t="n">
        <x:v>7935.6</x:v>
      </x:c>
      <x:c r="G71" s="8" t="n">
        <x:v>370</x:v>
      </x:c>
      <x:c r="H71" s="8" t="n">
        <x:v>16</x:v>
      </x:c>
      <x:c r="I71" s="8" t="n">
        <x:v>3954.9726851852</x:v>
      </x:c>
      <x:c r="J71" s="8" t="n">
        <x:v>366</x:v>
      </x:c>
      <x:c r="K71" s="8" t="n">
        <x:v>53</x:v>
      </x:c>
      <x:c r="L71" s="2"/>
      <x:c r="M71" s="2"/>
      <x:c r="N71" s="2"/>
    </x:row>
    <x:row r="72" ht="22" customHeight="1">
      <x:c r="A72" s="4" t="d">
        <x:v>2017-03-01T00:00:00.000Z</x:v>
      </x:c>
      <x:c r="B72" s="2" t="str">
        <x:v>RN</x:v>
      </x:c>
      <x:c r="C72" s="8" t="n">
        <x:v>13</x:v>
      </x:c>
      <x:c r="D72" s="8" t="n">
        <x:v>13</x:v>
      </x:c>
      <x:c r="E72" s="9" t="n">
        <x:v>1741.72</x:v>
      </x:c>
      <x:c r="F72" s="9" t="n">
        <x:v>362.88</x:v>
      </x:c>
      <x:c r="G72" s="8" t="n">
        <x:v>13</x:v>
      </x:c>
      <x:c r="H72" s="8" t="n">
        <x:v>3</x:v>
      </x:c>
      <x:c r="I72" s="8" t="n">
        <x:v>413.0452430556</x:v>
      </x:c>
      <x:c r="J72" s="8" t="n">
        <x:v>13</x:v>
      </x:c>
      <x:c r="K72" s="8" t="n">
        <x:v>2</x:v>
      </x:c>
      <x:c r="L72" s="2"/>
      <x:c r="M72" s="2"/>
      <x:c r="N72" s="2"/>
    </x:row>
    <x:row r="73" ht="22" customHeight="1">
      <x:c r="A73" s="4" t="d">
        <x:v>2017-03-01T00:00:00.000Z</x:v>
      </x:c>
      <x:c r="B73" s="2" t="str">
        <x:v>RO</x:v>
      </x:c>
      <x:c r="C73" s="8" t="n">
        <x:v>16</x:v>
      </x:c>
      <x:c r="D73" s="8" t="n">
        <x:v>16</x:v>
      </x:c>
      <x:c r="E73" s="9" t="n">
        <x:v>1864.86</x:v>
      </x:c>
      <x:c r="F73" s="9" t="n">
        <x:v>658.82</x:v>
      </x:c>
      <x:c r="G73" s="8" t="n">
        <x:v>16</x:v>
      </x:c>
      <x:c r="H73" s="8" t="n">
        <x:v>2</x:v>
      </x:c>
      <x:c r="I73" s="8" t="n">
        <x:v>345.2691550926</x:v>
      </x:c>
      <x:c r="J73" s="8" t="n">
        <x:v>16</x:v>
      </x:c>
      <x:c r="K73" s="8" t="n">
        <x:v>3</x:v>
      </x:c>
      <x:c r="L73" s="2"/>
      <x:c r="M73" s="2"/>
      <x:c r="N73" s="2"/>
    </x:row>
    <x:row r="74" ht="22" customHeight="1">
      <x:c r="A74" s="4" t="d">
        <x:v>2017-03-01T00:00:00.000Z</x:v>
      </x:c>
      <x:c r="B74" s="2" t="str">
        <x:v>RR</x:v>
      </x:c>
      <x:c r="C74" s="8" t="n">
        <x:v>2</x:v>
      </x:c>
      <x:c r="D74" s="8" t="n">
        <x:v>2</x:v>
      </x:c>
      <x:c r="E74" s="9" t="n">
        <x:v>270.99</x:v>
      </x:c>
      <x:c r="F74" s="9" t="n">
        <x:v>59.82</x:v>
      </x:c>
      <x:c r="G74" s="8" t="n">
        <x:v>2</x:v>
      </x:c>
      <x:c r="H74" s="8" t="n">
        <x:v>1</x:v>
      </x:c>
      <x:c r="I74" s="8" t="n">
        <x:v>205.0169328704</x:v>
      </x:c>
      <x:c r="J74" s="8" t="n">
        <x:v>2</x:v>
      </x:c>
      <x:c r="K74" s="8" t="n">
        <x:v>0</x:v>
      </x:c>
      <x:c r="L74" s="2"/>
      <x:c r="M74" s="2"/>
      <x:c r="N74" s="2"/>
    </x:row>
    <x:row r="75" ht="22" customHeight="1">
      <x:c r="A75" s="4" t="d">
        <x:v>2017-03-01T00:00:00.000Z</x:v>
      </x:c>
      <x:c r="B75" s="2" t="str">
        <x:v>RS</x:v>
      </x:c>
      <x:c r="C75" s="8" t="n">
        <x:v>151</x:v>
      </x:c>
      <x:c r="D75" s="8" t="n">
        <x:v>144</x:v>
      </x:c>
      <x:c r="E75" s="9" t="n">
        <x:v>19527.64</x:v>
      </x:c>
      <x:c r="F75" s="9" t="n">
        <x:v>3416.39</x:v>
      </x:c>
      <x:c r="G75" s="8" t="n">
        <x:v>144</x:v>
      </x:c>
      <x:c r="H75" s="8" t="n">
        <x:v>2</x:v>
      </x:c>
      <x:c r="I75" s="8" t="n">
        <x:v>2054.5223842593</x:v>
      </x:c>
      <x:c r="J75" s="8" t="n">
        <x:v>144</x:v>
      </x:c>
      <x:c r="K75" s="8" t="n">
        <x:v>11</x:v>
      </x:c>
      <x:c r="L75" s="2"/>
      <x:c r="M75" s="2"/>
      <x:c r="N75" s="2"/>
    </x:row>
    <x:row r="76" ht="22" customHeight="1">
      <x:c r="A76" s="4" t="d">
        <x:v>2017-03-01T00:00:00.000Z</x:v>
      </x:c>
      <x:c r="B76" s="2" t="str">
        <x:v>SC</x:v>
      </x:c>
      <x:c r="C76" s="8" t="n">
        <x:v>110</x:v>
      </x:c>
      <x:c r="D76" s="8" t="n">
        <x:v>104</x:v>
      </x:c>
      <x:c r="E76" s="9" t="n">
        <x:v>18004.51</x:v>
      </x:c>
      <x:c r="F76" s="9" t="n">
        <x:v>2261.18</x:v>
      </x:c>
      <x:c r="G76" s="8" t="n">
        <x:v>104</x:v>
      </x:c>
      <x:c r="H76" s="8" t="n">
        <x:v>19</x:v>
      </x:c>
      <x:c r="I76" s="8" t="n">
        <x:v>1816.6806018519</x:v>
      </x:c>
      <x:c r="J76" s="8" t="n">
        <x:v>103</x:v>
      </x:c>
      <x:c r="K76" s="8" t="n">
        <x:v>12</x:v>
      </x:c>
      <x:c r="L76" s="2"/>
      <x:c r="M76" s="2"/>
      <x:c r="N76" s="2"/>
    </x:row>
    <x:row r="77" ht="22" customHeight="1">
      <x:c r="A77" s="4" t="d">
        <x:v>2017-03-01T00:00:00.000Z</x:v>
      </x:c>
      <x:c r="B77" s="2" t="str">
        <x:v>SE</x:v>
      </x:c>
      <x:c r="C77" s="8" t="n">
        <x:v>25</x:v>
      </x:c>
      <x:c r="D77" s="8" t="n">
        <x:v>22</x:v>
      </x:c>
      <x:c r="E77" s="9" t="n">
        <x:v>2438.7</x:v>
      </x:c>
      <x:c r="F77" s="9" t="n">
        <x:v>682.81</x:v>
      </x:c>
      <x:c r="G77" s="8" t="n">
        <x:v>22</x:v>
      </x:c>
      <x:c r="H77" s="8" t="n">
        <x:v>3</x:v>
      </x:c>
      <x:c r="I77" s="8" t="n">
        <x:v>815.721099537</x:v>
      </x:c>
      <x:c r="J77" s="8" t="n">
        <x:v>22</x:v>
      </x:c>
      <x:c r="K77" s="8" t="n">
        <x:v>4</x:v>
      </x:c>
      <x:c r="L77" s="2"/>
      <x:c r="M77" s="2"/>
      <x:c r="N77" s="2"/>
    </x:row>
    <x:row r="78" ht="22" customHeight="1">
      <x:c r="A78" s="4" t="d">
        <x:v>2017-03-01T00:00:00.000Z</x:v>
      </x:c>
      <x:c r="B78" s="2" t="str">
        <x:v>SP</x:v>
      </x:c>
      <x:c r="C78" s="8" t="n">
        <x:v>1010</x:v>
      </x:c>
      <x:c r="D78" s="8" t="n">
        <x:v>966</x:v>
      </x:c>
      <x:c r="E78" s="9" t="n">
        <x:v>131720.93</x:v>
      </x:c>
      <x:c r="F78" s="9" t="n">
        <x:v>15936.86</x:v>
      </x:c>
      <x:c r="G78" s="8" t="n">
        <x:v>966</x:v>
      </x:c>
      <x:c r="H78" s="8" t="n">
        <x:v>22</x:v>
      </x:c>
      <x:c r="I78" s="8" t="n">
        <x:v>9253.1447569444</x:v>
      </x:c>
      <x:c r="J78" s="8" t="n">
        <x:v>957</x:v>
      </x:c>
      <x:c r="K78" s="8" t="n">
        <x:v>90</x:v>
      </x:c>
      <x:c r="L78" s="2"/>
      <x:c r="M78" s="2"/>
      <x:c r="N78" s="2"/>
    </x:row>
    <x:row r="79" ht="22" customHeight="1">
      <x:c r="A79" s="4" t="d">
        <x:v>2017-03-01T00:00:00.000Z</x:v>
      </x:c>
      <x:c r="B79" s="2" t="str">
        <x:v>TO</x:v>
      </x:c>
      <x:c r="C79" s="8" t="n">
        <x:v>8</x:v>
      </x:c>
      <x:c r="D79" s="8" t="n">
        <x:v>7</x:v>
      </x:c>
      <x:c r="E79" s="9" t="n">
        <x:v>648.66</x:v>
      </x:c>
      <x:c r="F79" s="9" t="n">
        <x:v>153.55</x:v>
      </x:c>
      <x:c r="G79" s="8" t="n">
        <x:v>7</x:v>
      </x:c>
      <x:c r="H79" s="8" t="n">
        <x:v>0</x:v>
      </x:c>
      <x:c r="I79" s="8" t="n">
        <x:v>118.5885069444</x:v>
      </x:c>
      <x:c r="J79" s="8" t="n">
        <x:v>7</x:v>
      </x:c>
      <x:c r="K79" s="8" t="n">
        <x:v>1</x:v>
      </x:c>
      <x:c r="L79" s="2"/>
      <x:c r="M79" s="2"/>
      <x:c r="N79" s="2"/>
    </x:row>
    <x:row r="80" ht="22" customHeight="1">
      <x:c r="A80" s="4" t="d">
        <x:v>2017-04-01T00:00:00.000Z</x:v>
      </x:c>
      <x:c r="B80" s="2" t="str">
        <x:v>AC</x:v>
      </x:c>
      <x:c r="C80" s="8" t="n">
        <x:v>5</x:v>
      </x:c>
      <x:c r="D80" s="8" t="n">
        <x:v>5</x:v>
      </x:c>
      <x:c r="E80" s="9" t="n">
        <x:v>1162.38</x:v>
      </x:c>
      <x:c r="F80" s="9" t="n">
        <x:v>189.13</x:v>
      </x:c>
      <x:c r="G80" s="8" t="n">
        <x:v>5</x:v>
      </x:c>
      <x:c r="H80" s="8" t="n">
        <x:v>0</x:v>
      </x:c>
      <x:c r="I80" s="8" t="n">
        <x:v>129.9530787037</x:v>
      </x:c>
      <x:c r="J80" s="8" t="n">
        <x:v>5</x:v>
      </x:c>
      <x:c r="K80" s="8" t="n">
        <x:v>2</x:v>
      </x:c>
      <x:c r="L80" s="2"/>
      <x:c r="M80" s="2"/>
      <x:c r="N80" s="2"/>
    </x:row>
    <x:row r="81" ht="22" customHeight="1">
      <x:c r="A81" s="4" t="d">
        <x:v>2017-04-01T00:00:00.000Z</x:v>
      </x:c>
      <x:c r="B81" s="2" t="str">
        <x:v>AL</x:v>
      </x:c>
      <x:c r="C81" s="8" t="n">
        <x:v>23</x:v>
      </x:c>
      <x:c r="D81" s="8" t="n">
        <x:v>21</x:v>
      </x:c>
      <x:c r="E81" s="9" t="n">
        <x:v>4569.12</x:v>
      </x:c>
      <x:c r="F81" s="9" t="n">
        <x:v>600.81</x:v>
      </x:c>
      <x:c r="G81" s="8" t="n">
        <x:v>21</x:v>
      </x:c>
      <x:c r="H81" s="8" t="n">
        <x:v>8</x:v>
      </x:c>
      <x:c r="I81" s="8" t="n">
        <x:v>649.7832407407</x:v>
      </x:c>
      <x:c r="J81" s="8" t="n">
        <x:v>21</x:v>
      </x:c>
      <x:c r="K81" s="8" t="n">
        <x:v>10</x:v>
      </x:c>
      <x:c r="L81" s="2"/>
      <x:c r="M81" s="2"/>
      <x:c r="N81" s="2"/>
    </x:row>
    <x:row r="82" ht="22" customHeight="1">
      <x:c r="A82" s="4" t="d">
        <x:v>2017-04-01T00:00:00.000Z</x:v>
      </x:c>
      <x:c r="B82" s="2" t="str">
        <x:v>AM</x:v>
      </x:c>
      <x:c r="C82" s="8" t="n">
        <x:v>13</x:v>
      </x:c>
      <x:c r="D82" s="8" t="n">
        <x:v>13</x:v>
      </x:c>
      <x:c r="E82" s="9" t="n">
        <x:v>836.38</x:v>
      </x:c>
      <x:c r="F82" s="9" t="n">
        <x:v>339.85</x:v>
      </x:c>
      <x:c r="G82" s="8" t="n">
        <x:v>13</x:v>
      </x:c>
      <x:c r="H82" s="8" t="n">
        <x:v>0</x:v>
      </x:c>
      <x:c r="I82" s="8" t="n">
        <x:v>270.721724537</x:v>
      </x:c>
      <x:c r="J82" s="8" t="n">
        <x:v>13</x:v>
      </x:c>
      <x:c r="K82" s="8" t="n">
        <x:v>1</x:v>
      </x:c>
      <x:c r="L82" s="2"/>
      <x:c r="M82" s="2"/>
      <x:c r="N82" s="2"/>
    </x:row>
    <x:row r="83" ht="22" customHeight="1">
      <x:c r="A83" s="4" t="d">
        <x:v>2017-04-01T00:00:00.000Z</x:v>
      </x:c>
      <x:c r="B83" s="2" t="str">
        <x:v>BA</x:v>
      </x:c>
      <x:c r="C83" s="8" t="n">
        <x:v>93</x:v>
      </x:c>
      <x:c r="D83" s="8" t="n">
        <x:v>84</x:v>
      </x:c>
      <x:c r="E83" s="9" t="n">
        <x:v>17863.15</x:v>
      </x:c>
      <x:c r="F83" s="9" t="n">
        <x:v>2522.25</x:v>
      </x:c>
      <x:c r="G83" s="8" t="n">
        <x:v>84</x:v>
      </x:c>
      <x:c r="H83" s="8" t="n">
        <x:v>12</x:v>
      </x:c>
      <x:c r="I83" s="8" t="n">
        <x:v>2397.7313888889</x:v>
      </x:c>
      <x:c r="J83" s="8" t="n">
        <x:v>83</x:v>
      </x:c>
      <x:c r="K83" s="8" t="n">
        <x:v>15</x:v>
      </x:c>
      <x:c r="L83" s="2"/>
      <x:c r="M83" s="2"/>
      <x:c r="N83" s="2"/>
    </x:row>
    <x:row r="84" ht="22" customHeight="1">
      <x:c r="A84" s="4" t="d">
        <x:v>2017-04-01T00:00:00.000Z</x:v>
      </x:c>
      <x:c r="B84" s="2" t="str">
        <x:v>CE</x:v>
      </x:c>
      <x:c r="C84" s="8" t="n">
        <x:v>43</x:v>
      </x:c>
      <x:c r="D84" s="8" t="n">
        <x:v>42</x:v>
      </x:c>
      <x:c r="E84" s="9" t="n">
        <x:v>5731.83</x:v>
      </x:c>
      <x:c r="F84" s="9" t="n">
        <x:v>1192.96</x:v>
      </x:c>
      <x:c r="G84" s="8" t="n">
        <x:v>42</x:v>
      </x:c>
      <x:c r="H84" s="8" t="n">
        <x:v>5</x:v>
      </x:c>
      <x:c r="I84" s="8" t="n">
        <x:v>1214.7453240741</x:v>
      </x:c>
      <x:c r="J84" s="8" t="n">
        <x:v>42</x:v>
      </x:c>
      <x:c r="K84" s="8" t="n">
        <x:v>4</x:v>
      </x:c>
      <x:c r="L84" s="2"/>
      <x:c r="M84" s="2"/>
      <x:c r="N84" s="2"/>
    </x:row>
    <x:row r="85" ht="22" customHeight="1">
      <x:c r="A85" s="4" t="d">
        <x:v>2017-04-01T00:00:00.000Z</x:v>
      </x:c>
      <x:c r="B85" s="2" t="str">
        <x:v>DF</x:v>
      </x:c>
      <x:c r="C85" s="8" t="n">
        <x:v>35</x:v>
      </x:c>
      <x:c r="D85" s="8" t="n">
        <x:v>34</x:v>
      </x:c>
      <x:c r="E85" s="9" t="n">
        <x:v>7497.68</x:v>
      </x:c>
      <x:c r="F85" s="9" t="n">
        <x:v>1053</x:v>
      </x:c>
      <x:c r="G85" s="8" t="n">
        <x:v>34</x:v>
      </x:c>
      <x:c r="H85" s="8" t="n">
        <x:v>0</x:v>
      </x:c>
      <x:c r="I85" s="8" t="n">
        <x:v>507.2734953704</x:v>
      </x:c>
      <x:c r="J85" s="8" t="n">
        <x:v>34</x:v>
      </x:c>
      <x:c r="K85" s="8" t="n">
        <x:v>8</x:v>
      </x:c>
      <x:c r="L85" s="2"/>
      <x:c r="M85" s="2"/>
      <x:c r="N85" s="2"/>
    </x:row>
    <x:row r="86" ht="22" customHeight="1">
      <x:c r="A86" s="4" t="d">
        <x:v>2017-04-01T00:00:00.000Z</x:v>
      </x:c>
      <x:c r="B86" s="2" t="str">
        <x:v>ES</x:v>
      </x:c>
      <x:c r="C86" s="8" t="n">
        <x:v>46</x:v>
      </x:c>
      <x:c r="D86" s="8" t="n">
        <x:v>45</x:v>
      </x:c>
      <x:c r="E86" s="9" t="n">
        <x:v>5420.3</x:v>
      </x:c>
      <x:c r="F86" s="9" t="n">
        <x:v>961.4</x:v>
      </x:c>
      <x:c r="G86" s="8" t="n">
        <x:v>45</x:v>
      </x:c>
      <x:c r="H86" s="8" t="n">
        <x:v>2</x:v>
      </x:c>
      <x:c r="I86" s="8" t="n">
        <x:v>607.7619791667</x:v>
      </x:c>
      <x:c r="J86" s="8" t="n">
        <x:v>45</x:v>
      </x:c>
      <x:c r="K86" s="8" t="n">
        <x:v>8</x:v>
      </x:c>
      <x:c r="L86" s="2"/>
      <x:c r="M86" s="2"/>
      <x:c r="N86" s="2"/>
    </x:row>
    <x:row r="87" ht="22" customHeight="1">
      <x:c r="A87" s="4" t="d">
        <x:v>2017-04-01T00:00:00.000Z</x:v>
      </x:c>
      <x:c r="B87" s="2" t="str">
        <x:v>GO</x:v>
      </x:c>
      <x:c r="C87" s="8" t="n">
        <x:v>41</x:v>
      </x:c>
      <x:c r="D87" s="8" t="n">
        <x:v>38</x:v>
      </x:c>
      <x:c r="E87" s="9" t="n">
        <x:v>5321.93</x:v>
      </x:c>
      <x:c r="F87" s="9" t="n">
        <x:v>1024.54</x:v>
      </x:c>
      <x:c r="G87" s="8" t="n">
        <x:v>38</x:v>
      </x:c>
      <x:c r="H87" s="8" t="n">
        <x:v>3</x:v>
      </x:c>
      <x:c r="I87" s="8" t="n">
        <x:v>742.6671180556</x:v>
      </x:c>
      <x:c r="J87" s="8" t="n">
        <x:v>38</x:v>
      </x:c>
      <x:c r="K87" s="8" t="n">
        <x:v>7</x:v>
      </x:c>
      <x:c r="L87" s="2"/>
      <x:c r="M87" s="2"/>
      <x:c r="N87" s="2"/>
    </x:row>
    <x:row r="88" ht="22" customHeight="1">
      <x:c r="A88" s="4" t="d">
        <x:v>2017-04-01T00:00:00.000Z</x:v>
      </x:c>
      <x:c r="B88" s="2" t="str">
        <x:v>MA</x:v>
      </x:c>
      <x:c r="C88" s="8" t="n">
        <x:v>27</x:v>
      </x:c>
      <x:c r="D88" s="8" t="n">
        <x:v>25</x:v>
      </x:c>
      <x:c r="E88" s="9" t="n">
        <x:v>3048.42</x:v>
      </x:c>
      <x:c r="F88" s="9" t="n">
        <x:v>715.63</x:v>
      </x:c>
      <x:c r="G88" s="8" t="n">
        <x:v>25</x:v>
      </x:c>
      <x:c r="H88" s="8" t="n">
        <x:v>1</x:v>
      </x:c>
      <x:c r="I88" s="8" t="n">
        <x:v>530.2020138889</x:v>
      </x:c>
      <x:c r="J88" s="8" t="n">
        <x:v>24</x:v>
      </x:c>
      <x:c r="K88" s="8" t="n">
        <x:v>2</x:v>
      </x:c>
      <x:c r="L88" s="2"/>
      <x:c r="M88" s="2"/>
      <x:c r="N88" s="2"/>
    </x:row>
    <x:row r="89" ht="22" customHeight="1">
      <x:c r="A89" s="4" t="d">
        <x:v>2017-04-01T00:00:00.000Z</x:v>
      </x:c>
      <x:c r="B89" s="2" t="str">
        <x:v>MG</x:v>
      </x:c>
      <x:c r="C89" s="8" t="n">
        <x:v>275</x:v>
      </x:c>
      <x:c r="D89" s="8" t="n">
        <x:v>266</x:v>
      </x:c>
      <x:c r="E89" s="9" t="n">
        <x:v>39224.37</x:v>
      </x:c>
      <x:c r="F89" s="9" t="n">
        <x:v>5682.75</x:v>
      </x:c>
      <x:c r="G89" s="8" t="n">
        <x:v>266</x:v>
      </x:c>
      <x:c r="H89" s="8" t="n">
        <x:v>7</x:v>
      </x:c>
      <x:c r="I89" s="8" t="n">
        <x:v>3145.0153587963</x:v>
      </x:c>
      <x:c r="J89" s="8" t="n">
        <x:v>265</x:v>
      </x:c>
      <x:c r="K89" s="8" t="n">
        <x:v>27</x:v>
      </x:c>
      <x:c r="L89" s="2"/>
      <x:c r="M89" s="2"/>
      <x:c r="N89" s="2"/>
    </x:row>
    <x:row r="90" ht="22" customHeight="1">
      <x:c r="A90" s="4" t="d">
        <x:v>2017-04-01T00:00:00.000Z</x:v>
      </x:c>
      <x:c r="B90" s="2" t="str">
        <x:v>MS</x:v>
      </x:c>
      <x:c r="C90" s="8" t="n">
        <x:v>15</x:v>
      </x:c>
      <x:c r="D90" s="8" t="n">
        <x:v>15</x:v>
      </x:c>
      <x:c r="E90" s="9" t="n">
        <x:v>1904.06</x:v>
      </x:c>
      <x:c r="F90" s="9" t="n">
        <x:v>304.38</x:v>
      </x:c>
      <x:c r="G90" s="8" t="n">
        <x:v>15</x:v>
      </x:c>
      <x:c r="H90" s="8" t="n">
        <x:v>1</x:v>
      </x:c>
      <x:c r="I90" s="8" t="n">
        <x:v>229.745162037</x:v>
      </x:c>
      <x:c r="J90" s="8" t="n">
        <x:v>15</x:v>
      </x:c>
      <x:c r="K90" s="8" t="n">
        <x:v>1</x:v>
      </x:c>
      <x:c r="L90" s="2"/>
      <x:c r="M90" s="2"/>
      <x:c r="N90" s="2"/>
    </x:row>
    <x:row r="91" ht="22" customHeight="1">
      <x:c r="A91" s="4" t="d">
        <x:v>2017-04-01T00:00:00.000Z</x:v>
      </x:c>
      <x:c r="B91" s="2" t="str">
        <x:v>MT</x:v>
      </x:c>
      <x:c r="C91" s="8" t="n">
        <x:v>27</x:v>
      </x:c>
      <x:c r="D91" s="8" t="n">
        <x:v>25</x:v>
      </x:c>
      <x:c r="E91" s="9" t="n">
        <x:v>3282.05</x:v>
      </x:c>
      <x:c r="F91" s="9" t="n">
        <x:v>709.51</x:v>
      </x:c>
      <x:c r="G91" s="8" t="n">
        <x:v>25</x:v>
      </x:c>
      <x:c r="H91" s="8" t="n">
        <x:v>2</x:v>
      </x:c>
      <x:c r="I91" s="8" t="n">
        <x:v>542.0476273148</x:v>
      </x:c>
      <x:c r="J91" s="8" t="n">
        <x:v>25</x:v>
      </x:c>
      <x:c r="K91" s="8" t="n">
        <x:v>2</x:v>
      </x:c>
      <x:c r="L91" s="2"/>
      <x:c r="M91" s="2"/>
      <x:c r="N91" s="2"/>
    </x:row>
    <x:row r="92" ht="22" customHeight="1">
      <x:c r="A92" s="4" t="d">
        <x:v>2017-04-01T00:00:00.000Z</x:v>
      </x:c>
      <x:c r="B92" s="2" t="str">
        <x:v>PA</x:v>
      </x:c>
      <x:c r="C92" s="8" t="n">
        <x:v>36</x:v>
      </x:c>
      <x:c r="D92" s="8" t="n">
        <x:v>36</x:v>
      </x:c>
      <x:c r="E92" s="9" t="n">
        <x:v>4776.15</x:v>
      </x:c>
      <x:c r="F92" s="9" t="n">
        <x:v>1332.06</x:v>
      </x:c>
      <x:c r="G92" s="8" t="n">
        <x:v>36</x:v>
      </x:c>
      <x:c r="H92" s="8" t="n">
        <x:v>0</x:v>
      </x:c>
      <x:c r="I92" s="8" t="n">
        <x:v>643.5195949074</x:v>
      </x:c>
      <x:c r="J92" s="8" t="n">
        <x:v>36</x:v>
      </x:c>
      <x:c r="K92" s="8" t="n">
        <x:v>4</x:v>
      </x:c>
      <x:c r="L92" s="2"/>
      <x:c r="M92" s="2"/>
      <x:c r="N92" s="2"/>
    </x:row>
    <x:row r="93" ht="22" customHeight="1">
      <x:c r="A93" s="4" t="d">
        <x:v>2017-04-01T00:00:00.000Z</x:v>
      </x:c>
      <x:c r="B93" s="2" t="str">
        <x:v>PB</x:v>
      </x:c>
      <x:c r="C93" s="8" t="n">
        <x:v>20</x:v>
      </x:c>
      <x:c r="D93" s="8" t="n">
        <x:v>20</x:v>
      </x:c>
      <x:c r="E93" s="9" t="n">
        <x:v>2957.37</x:v>
      </x:c>
      <x:c r="F93" s="9" t="n">
        <x:v>605.31</x:v>
      </x:c>
      <x:c r="G93" s="8" t="n">
        <x:v>20</x:v>
      </x:c>
      <x:c r="H93" s="8" t="n">
        <x:v>3</x:v>
      </x:c>
      <x:c r="I93" s="8" t="n">
        <x:v>532.847349537</x:v>
      </x:c>
      <x:c r="J93" s="8" t="n">
        <x:v>19</x:v>
      </x:c>
      <x:c r="K93" s="8" t="n">
        <x:v>5</x:v>
      </x:c>
      <x:c r="L93" s="2"/>
      <x:c r="M93" s="2"/>
      <x:c r="N93" s="2"/>
    </x:row>
    <x:row r="94" ht="22" customHeight="1">
      <x:c r="A94" s="4" t="d">
        <x:v>2017-04-01T00:00:00.000Z</x:v>
      </x:c>
      <x:c r="B94" s="2" t="str">
        <x:v>PE</x:v>
      </x:c>
      <x:c r="C94" s="8" t="n">
        <x:v>40</x:v>
      </x:c>
      <x:c r="D94" s="8" t="n">
        <x:v>36</x:v>
      </x:c>
      <x:c r="E94" s="9" t="n">
        <x:v>3646.43</x:v>
      </x:c>
      <x:c r="F94" s="9" t="n">
        <x:v>973.81</x:v>
      </x:c>
      <x:c r="G94" s="8" t="n">
        <x:v>36</x:v>
      </x:c>
      <x:c r="H94" s="8" t="n">
        <x:v>3</x:v>
      </x:c>
      <x:c r="I94" s="8" t="n">
        <x:v>821.6250578704</x:v>
      </x:c>
      <x:c r="J94" s="8" t="n">
        <x:v>36</x:v>
      </x:c>
      <x:c r="K94" s="8" t="n">
        <x:v>3</x:v>
      </x:c>
      <x:c r="L94" s="2"/>
      <x:c r="M94" s="2"/>
      <x:c r="N94" s="2"/>
    </x:row>
    <x:row r="95" ht="22" customHeight="1">
      <x:c r="A95" s="4" t="d">
        <x:v>2017-04-01T00:00:00.000Z</x:v>
      </x:c>
      <x:c r="B95" s="2" t="str">
        <x:v>PI</x:v>
      </x:c>
      <x:c r="C95" s="8" t="n">
        <x:v>13</x:v>
      </x:c>
      <x:c r="D95" s="8" t="n">
        <x:v>11</x:v>
      </x:c>
      <x:c r="E95" s="9" t="n">
        <x:v>2138.03</x:v>
      </x:c>
      <x:c r="F95" s="9" t="n">
        <x:v>310.65</x:v>
      </x:c>
      <x:c r="G95" s="8" t="n">
        <x:v>11</x:v>
      </x:c>
      <x:c r="H95" s="8" t="n">
        <x:v>0</x:v>
      </x:c>
      <x:c r="I95" s="8" t="n">
        <x:v>145.6509490741</x:v>
      </x:c>
      <x:c r="J95" s="8" t="n">
        <x:v>10</x:v>
      </x:c>
      <x:c r="K95" s="8" t="n">
        <x:v>0</x:v>
      </x:c>
      <x:c r="L95" s="2"/>
      <x:c r="M95" s="2"/>
      <x:c r="N95" s="2"/>
    </x:row>
    <x:row r="96" ht="22" customHeight="1">
      <x:c r="A96" s="4" t="d">
        <x:v>2017-04-01T00:00:00.000Z</x:v>
      </x:c>
      <x:c r="B96" s="2" t="str">
        <x:v>PR</x:v>
      </x:c>
      <x:c r="C96" s="8" t="n">
        <x:v>114</x:v>
      </x:c>
      <x:c r="D96" s="8" t="n">
        <x:v>112</x:v>
      </x:c>
      <x:c r="E96" s="9" t="n">
        <x:v>15553.11</x:v>
      </x:c>
      <x:c r="F96" s="9" t="n">
        <x:v>2433.83</x:v>
      </x:c>
      <x:c r="G96" s="8" t="n">
        <x:v>112</x:v>
      </x:c>
      <x:c r="H96" s="8" t="n">
        <x:v>3</x:v>
      </x:c>
      <x:c r="I96" s="8" t="n">
        <x:v>1520.0496759259</x:v>
      </x:c>
      <x:c r="J96" s="8" t="n">
        <x:v>112</x:v>
      </x:c>
      <x:c r="K96" s="8" t="n">
        <x:v>7</x:v>
      </x:c>
      <x:c r="L96" s="2"/>
      <x:c r="M96" s="2"/>
      <x:c r="N96" s="2"/>
    </x:row>
    <x:row r="97" ht="22" customHeight="1">
      <x:c r="A97" s="4" t="d">
        <x:v>2017-04-01T00:00:00.000Z</x:v>
      </x:c>
      <x:c r="B97" s="2" t="str">
        <x:v>RJ</x:v>
      </x:c>
      <x:c r="C97" s="8" t="n">
        <x:v>338</x:v>
      </x:c>
      <x:c r="D97" s="8" t="n">
        <x:v>325</x:v>
      </x:c>
      <x:c r="E97" s="9" t="n">
        <x:v>56955.59</x:v>
      </x:c>
      <x:c r="F97" s="9" t="n">
        <x:v>6961.5</x:v>
      </x:c>
      <x:c r="G97" s="8" t="n">
        <x:v>325</x:v>
      </x:c>
      <x:c r="H97" s="8" t="n">
        <x:v>21</x:v>
      </x:c>
      <x:c r="I97" s="8" t="n">
        <x:v>4631.5303587963</x:v>
      </x:c>
      <x:c r="J97" s="8" t="n">
        <x:v>322</x:v>
      </x:c>
      <x:c r="K97" s="8" t="n">
        <x:v>41</x:v>
      </x:c>
      <x:c r="L97" s="2"/>
      <x:c r="M97" s="2"/>
      <x:c r="N97" s="2"/>
    </x:row>
    <x:row r="98" ht="22" customHeight="1">
      <x:c r="A98" s="4" t="d">
        <x:v>2017-04-01T00:00:00.000Z</x:v>
      </x:c>
      <x:c r="B98" s="2" t="str">
        <x:v>RN</x:v>
      </x:c>
      <x:c r="C98" s="8" t="n">
        <x:v>10</x:v>
      </x:c>
      <x:c r="D98" s="8" t="n">
        <x:v>10</x:v>
      </x:c>
      <x:c r="E98" s="9" t="n">
        <x:v>1243.87</x:v>
      </x:c>
      <x:c r="F98" s="9" t="n">
        <x:v>321.38</x:v>
      </x:c>
      <x:c r="G98" s="8" t="n">
        <x:v>10</x:v>
      </x:c>
      <x:c r="H98" s="8" t="n">
        <x:v>0</x:v>
      </x:c>
      <x:c r="I98" s="8" t="n">
        <x:v>190.8527546296</x:v>
      </x:c>
      <x:c r="J98" s="8" t="n">
        <x:v>10</x:v>
      </x:c>
      <x:c r="K98" s="8" t="n">
        <x:v>0</x:v>
      </x:c>
      <x:c r="L98" s="2"/>
      <x:c r="M98" s="2"/>
      <x:c r="N98" s="2"/>
    </x:row>
    <x:row r="99" ht="22" customHeight="1">
      <x:c r="A99" s="4" t="d">
        <x:v>2017-04-01T00:00:00.000Z</x:v>
      </x:c>
      <x:c r="B99" s="2" t="str">
        <x:v>RO</x:v>
      </x:c>
      <x:c r="C99" s="8" t="n">
        <x:v>9</x:v>
      </x:c>
      <x:c r="D99" s="8" t="n">
        <x:v>7</x:v>
      </x:c>
      <x:c r="E99" s="9" t="n">
        <x:v>843.58</x:v>
      </x:c>
      <x:c r="F99" s="9" t="n">
        <x:v>198.88</x:v>
      </x:c>
      <x:c r="G99" s="8" t="n">
        <x:v>7</x:v>
      </x:c>
      <x:c r="H99" s="8" t="n">
        <x:v>1</x:v>
      </x:c>
      <x:c r="I99" s="8" t="n">
        <x:v>141.6357175926</x:v>
      </x:c>
      <x:c r="J99" s="8" t="n">
        <x:v>7</x:v>
      </x:c>
      <x:c r="K99" s="8" t="n">
        <x:v>0</x:v>
      </x:c>
      <x:c r="L99" s="2"/>
      <x:c r="M99" s="2"/>
      <x:c r="N99" s="2"/>
    </x:row>
    <x:row r="100" ht="22" customHeight="1">
      <x:c r="A100" s="4" t="d">
        <x:v>2017-04-01T00:00:00.000Z</x:v>
      </x:c>
      <x:c r="B100" s="2" t="str">
        <x:v>RR</x:v>
      </x:c>
      <x:c r="C100" s="8" t="n">
        <x:v>2</x:v>
      </x:c>
      <x:c r="D100" s="8" t="n">
        <x:v>2</x:v>
      </x:c>
      <x:c r="E100" s="9" t="n">
        <x:v>48.95</x:v>
      </x:c>
      <x:c r="F100" s="9" t="n">
        <x:v>57.94</x:v>
      </x:c>
      <x:c r="G100" s="8" t="n">
        <x:v>2</x:v>
      </x:c>
      <x:c r="H100" s="8" t="n">
        <x:v>0</x:v>
      </x:c>
      <x:c r="I100" s="8" t="n">
        <x:v>44.3100694444</x:v>
      </x:c>
      <x:c r="J100" s="8" t="n">
        <x:v>2</x:v>
      </x:c>
      <x:c r="K100" s="8" t="n">
        <x:v>0</x:v>
      </x:c>
      <x:c r="L100" s="2"/>
      <x:c r="M100" s="2"/>
      <x:c r="N100" s="2"/>
    </x:row>
    <x:row r="101" ht="22" customHeight="1">
      <x:c r="A101" s="4" t="d">
        <x:v>2017-04-01T00:00:00.000Z</x:v>
      </x:c>
      <x:c r="B101" s="2" t="str">
        <x:v>RS</x:v>
      </x:c>
      <x:c r="C101" s="8" t="n">
        <x:v>139</x:v>
      </x:c>
      <x:c r="D101" s="8" t="n">
        <x:v>132</x:v>
      </x:c>
      <x:c r="E101" s="9" t="n">
        <x:v>16561.79</x:v>
      </x:c>
      <x:c r="F101" s="9" t="n">
        <x:v>2900.86</x:v>
      </x:c>
      <x:c r="G101" s="8" t="n">
        <x:v>132</x:v>
      </x:c>
      <x:c r="H101" s="8" t="n">
        <x:v>3</x:v>
      </x:c>
      <x:c r="I101" s="8" t="n">
        <x:v>1900.7712847222</x:v>
      </x:c>
      <x:c r="J101" s="8" t="n">
        <x:v>132</x:v>
      </x:c>
      <x:c r="K101" s="8" t="n">
        <x:v>19</x:v>
      </x:c>
      <x:c r="L101" s="2"/>
      <x:c r="M101" s="2"/>
      <x:c r="N101" s="2"/>
    </x:row>
    <x:row r="102" ht="22" customHeight="1">
      <x:c r="A102" s="4" t="d">
        <x:v>2017-04-01T00:00:00.000Z</x:v>
      </x:c>
      <x:c r="B102" s="2" t="str">
        <x:v>SC</x:v>
      </x:c>
      <x:c r="C102" s="8" t="n">
        <x:v>105</x:v>
      </x:c>
      <x:c r="D102" s="8" t="n">
        <x:v>100</x:v>
      </x:c>
      <x:c r="E102" s="9" t="n">
        <x:v>11199</x:v>
      </x:c>
      <x:c r="F102" s="9" t="n">
        <x:v>2125.19</x:v>
      </x:c>
      <x:c r="G102" s="8" t="n">
        <x:v>100</x:v>
      </x:c>
      <x:c r="H102" s="8" t="n">
        <x:v>9</x:v>
      </x:c>
      <x:c r="I102" s="8" t="n">
        <x:v>1638.5285416667</x:v>
      </x:c>
      <x:c r="J102" s="8" t="n">
        <x:v>100</x:v>
      </x:c>
      <x:c r="K102" s="8" t="n">
        <x:v>15</x:v>
      </x:c>
      <x:c r="L102" s="2"/>
      <x:c r="M102" s="2"/>
      <x:c r="N102" s="2"/>
    </x:row>
    <x:row r="103" ht="22" customHeight="1">
      <x:c r="A103" s="4" t="d">
        <x:v>2017-04-01T00:00:00.000Z</x:v>
      </x:c>
      <x:c r="B103" s="2" t="str">
        <x:v>SE</x:v>
      </x:c>
      <x:c r="C103" s="8" t="n">
        <x:v>13</x:v>
      </x:c>
      <x:c r="D103" s="8" t="n">
        <x:v>13</x:v>
      </x:c>
      <x:c r="E103" s="9" t="n">
        <x:v>2595.17</x:v>
      </x:c>
      <x:c r="F103" s="9" t="n">
        <x:v>744.9</x:v>
      </x:c>
      <x:c r="G103" s="8" t="n">
        <x:v>13</x:v>
      </x:c>
      <x:c r="H103" s="8" t="n">
        <x:v>4</x:v>
      </x:c>
      <x:c r="I103" s="8" t="n">
        <x:v>381.9514930556</x:v>
      </x:c>
      <x:c r="J103" s="8" t="n">
        <x:v>12</x:v>
      </x:c>
      <x:c r="K103" s="8" t="n">
        <x:v>2</x:v>
      </x:c>
      <x:c r="L103" s="2"/>
      <x:c r="M103" s="2"/>
      <x:c r="N103" s="2"/>
    </x:row>
    <x:row r="104" ht="22" customHeight="1">
      <x:c r="A104" s="4" t="d">
        <x:v>2017-04-01T00:00:00.000Z</x:v>
      </x:c>
      <x:c r="B104" s="2" t="str">
        <x:v>SP</x:v>
      </x:c>
      <x:c r="C104" s="8" t="n">
        <x:v>908</x:v>
      </x:c>
      <x:c r="D104" s="8" t="n">
        <x:v>873</x:v>
      </x:c>
      <x:c r="E104" s="9" t="n">
        <x:v>123445.71</x:v>
      </x:c>
      <x:c r="F104" s="9" t="n">
        <x:v>15283.57</x:v>
      </x:c>
      <x:c r="G104" s="8" t="n">
        <x:v>873</x:v>
      </x:c>
      <x:c r="H104" s="8" t="n">
        <x:v>61</x:v>
      </x:c>
      <x:c r="I104" s="8" t="n">
        <x:v>10502.8229282407</x:v>
      </x:c>
      <x:c r="J104" s="8" t="n">
        <x:v>869</x:v>
      </x:c>
      <x:c r="K104" s="8" t="n">
        <x:v>112</x:v>
      </x:c>
      <x:c r="L104" s="2"/>
      <x:c r="M104" s="2"/>
      <x:c r="N104" s="2"/>
    </x:row>
    <x:row r="105" ht="22" customHeight="1">
      <x:c r="A105" s="4" t="d">
        <x:v>2017-04-01T00:00:00.000Z</x:v>
      </x:c>
      <x:c r="B105" s="2" t="str">
        <x:v>TO</x:v>
      </x:c>
      <x:c r="C105" s="8" t="n">
        <x:v>14</x:v>
      </x:c>
      <x:c r="D105" s="8" t="n">
        <x:v>13</x:v>
      </x:c>
      <x:c r="E105" s="9" t="n">
        <x:v>2843.26</x:v>
      </x:c>
      <x:c r="F105" s="9" t="n">
        <x:v>596.63</x:v>
      </x:c>
      <x:c r="G105" s="8" t="n">
        <x:v>13</x:v>
      </x:c>
      <x:c r="H105" s="8" t="n">
        <x:v>2</x:v>
      </x:c>
      <x:c r="I105" s="8" t="n">
        <x:v>292.2092013889</x:v>
      </x:c>
      <x:c r="J105" s="8" t="n">
        <x:v>13</x:v>
      </x:c>
      <x:c r="K105" s="8" t="n">
        <x:v>1</x:v>
      </x:c>
      <x:c r="L105" s="2"/>
      <x:c r="M105" s="2"/>
      <x:c r="N105" s="2"/>
    </x:row>
    <x:row r="106" ht="22" customHeight="1">
      <x:c r="A106" s="4" t="d">
        <x:v>2017-05-01T00:00:00.000Z</x:v>
      </x:c>
      <x:c r="B106" s="2" t="str">
        <x:v>AC</x:v>
      </x:c>
      <x:c r="C106" s="8" t="n">
        <x:v>8</x:v>
      </x:c>
      <x:c r="D106" s="8" t="n">
        <x:v>8</x:v>
      </x:c>
      <x:c r="E106" s="9" t="n">
        <x:v>2094.39</x:v>
      </x:c>
      <x:c r="F106" s="9" t="n">
        <x:v>277.34</x:v>
      </x:c>
      <x:c r="G106" s="8" t="n">
        <x:v>8</x:v>
      </x:c>
      <x:c r="H106" s="8" t="n">
        <x:v>0</x:v>
      </x:c>
      <x:c r="I106" s="8" t="n">
        <x:v>159.7464351852</x:v>
      </x:c>
      <x:c r="J106" s="8" t="n">
        <x:v>8</x:v>
      </x:c>
      <x:c r="K106" s="8" t="n">
        <x:v>1</x:v>
      </x:c>
      <x:c r="L106" s="2"/>
      <x:c r="M106" s="2"/>
      <x:c r="N106" s="2"/>
    </x:row>
    <x:row r="107" ht="22" customHeight="1">
      <x:c r="A107" s="4" t="d">
        <x:v>2017-05-01T00:00:00.000Z</x:v>
      </x:c>
      <x:c r="B107" s="2" t="str">
        <x:v>AL</x:v>
      </x:c>
      <x:c r="C107" s="8" t="n">
        <x:v>27</x:v>
      </x:c>
      <x:c r="D107" s="8" t="n">
        <x:v>26</x:v>
      </x:c>
      <x:c r="E107" s="9" t="n">
        <x:v>4699.25</x:v>
      </x:c>
      <x:c r="F107" s="9" t="n">
        <x:v>935.17</x:v>
      </x:c>
      <x:c r="G107" s="8" t="n">
        <x:v>26</x:v>
      </x:c>
      <x:c r="H107" s="8" t="n">
        <x:v>2</x:v>
      </x:c>
      <x:c r="I107" s="8" t="n">
        <x:v>581.297962963</x:v>
      </x:c>
      <x:c r="J107" s="8" t="n">
        <x:v>25</x:v>
      </x:c>
      <x:c r="K107" s="8" t="n">
        <x:v>5</x:v>
      </x:c>
      <x:c r="L107" s="2"/>
      <x:c r="M107" s="2"/>
      <x:c r="N107" s="2"/>
    </x:row>
    <x:row r="108" ht="22" customHeight="1">
      <x:c r="A108" s="4" t="d">
        <x:v>2017-05-01T00:00:00.000Z</x:v>
      </x:c>
      <x:c r="B108" s="2" t="str">
        <x:v>AM</x:v>
      </x:c>
      <x:c r="C108" s="8" t="n">
        <x:v>10</x:v>
      </x:c>
      <x:c r="D108" s="8" t="n">
        <x:v>8</x:v>
      </x:c>
      <x:c r="E108" s="9" t="n">
        <x:v>1016.77</x:v>
      </x:c>
      <x:c r="F108" s="9" t="n">
        <x:v>227.72</x:v>
      </x:c>
      <x:c r="G108" s="8" t="n">
        <x:v>8</x:v>
      </x:c>
      <x:c r="H108" s="8" t="n">
        <x:v>1</x:v>
      </x:c>
      <x:c r="I108" s="8" t="n">
        <x:v>262.0997685185</x:v>
      </x:c>
      <x:c r="J108" s="8" t="n">
        <x:v>8</x:v>
      </x:c>
      <x:c r="K108" s="8" t="n">
        <x:v>2</x:v>
      </x:c>
      <x:c r="L108" s="2"/>
      <x:c r="M108" s="2"/>
      <x:c r="N108" s="2"/>
    </x:row>
    <x:row r="109" ht="22" customHeight="1">
      <x:c r="A109" s="4" t="d">
        <x:v>2017-05-01T00:00:00.000Z</x:v>
      </x:c>
      <x:c r="B109" s="2" t="str">
        <x:v>AP</x:v>
      </x:c>
      <x:c r="C109" s="8" t="n">
        <x:v>5</x:v>
      </x:c>
      <x:c r="D109" s="8" t="n">
        <x:v>4</x:v>
      </x:c>
      <x:c r="E109" s="9" t="n">
        <x:v>1220.89</x:v>
      </x:c>
      <x:c r="F109" s="9" t="n">
        <x:v>166.96</x:v>
      </x:c>
      <x:c r="G109" s="8" t="n">
        <x:v>4</x:v>
      </x:c>
      <x:c r="H109" s="8" t="n">
        <x:v>0</x:v>
      </x:c>
      <x:c r="I109" s="8" t="n">
        <x:v>74.1182175926</x:v>
      </x:c>
      <x:c r="J109" s="8" t="n">
        <x:v>4</x:v>
      </x:c>
      <x:c r="K109" s="8" t="n">
        <x:v>0</x:v>
      </x:c>
      <x:c r="L109" s="2"/>
      <x:c r="M109" s="2"/>
      <x:c r="N109" s="2"/>
    </x:row>
    <x:row r="110" ht="22" customHeight="1">
      <x:c r="A110" s="4" t="d">
        <x:v>2017-05-01T00:00:00.000Z</x:v>
      </x:c>
      <x:c r="B110" s="2" t="str">
        <x:v>BA</x:v>
      </x:c>
      <x:c r="C110" s="8" t="n">
        <x:v>127</x:v>
      </x:c>
      <x:c r="D110" s="8" t="n">
        <x:v>119</x:v>
      </x:c>
      <x:c r="E110" s="9" t="n">
        <x:v>16031.66</x:v>
      </x:c>
      <x:c r="F110" s="9" t="n">
        <x:v>3504.44</x:v>
      </x:c>
      <x:c r="G110" s="8" t="n">
        <x:v>119</x:v>
      </x:c>
      <x:c r="H110" s="8" t="n">
        <x:v>4</x:v>
      </x:c>
      <x:c r="I110" s="8" t="n">
        <x:v>1999.2509375</x:v>
      </x:c>
      <x:c r="J110" s="8" t="n">
        <x:v>119</x:v>
      </x:c>
      <x:c r="K110" s="8" t="n">
        <x:v>16</x:v>
      </x:c>
      <x:c r="L110" s="2"/>
      <x:c r="M110" s="2"/>
      <x:c r="N110" s="2"/>
    </x:row>
    <x:row r="111" ht="22" customHeight="1">
      <x:c r="A111" s="4" t="d">
        <x:v>2017-05-01T00:00:00.000Z</x:v>
      </x:c>
      <x:c r="B111" s="2" t="str">
        <x:v>CE</x:v>
      </x:c>
      <x:c r="C111" s="8" t="n">
        <x:v>62</x:v>
      </x:c>
      <x:c r="D111" s="8" t="n">
        <x:v>62</x:v>
      </x:c>
      <x:c r="E111" s="9" t="n">
        <x:v>10466.27</x:v>
      </x:c>
      <x:c r="F111" s="9" t="n">
        <x:v>2162.4</x:v>
      </x:c>
      <x:c r="G111" s="8" t="n">
        <x:v>62</x:v>
      </x:c>
      <x:c r="H111" s="8" t="n">
        <x:v>1</x:v>
      </x:c>
      <x:c r="I111" s="8" t="n">
        <x:v>1028.2291435185</x:v>
      </x:c>
      <x:c r="J111" s="8" t="n">
        <x:v>62</x:v>
      </x:c>
      <x:c r="K111" s="8" t="n">
        <x:v>6</x:v>
      </x:c>
      <x:c r="L111" s="2"/>
      <x:c r="M111" s="2"/>
      <x:c r="N111" s="2"/>
    </x:row>
    <x:row r="112" ht="22" customHeight="1">
      <x:c r="A112" s="4" t="d">
        <x:v>2017-05-01T00:00:00.000Z</x:v>
      </x:c>
      <x:c r="B112" s="2" t="str">
        <x:v>DF</x:v>
      </x:c>
      <x:c r="C112" s="8" t="n">
        <x:v>64</x:v>
      </x:c>
      <x:c r="D112" s="8" t="n">
        <x:v>60</x:v>
      </x:c>
      <x:c r="E112" s="9" t="n">
        <x:v>7452.48</x:v>
      </x:c>
      <x:c r="F112" s="9" t="n">
        <x:v>1234.77</x:v>
      </x:c>
      <x:c r="G112" s="8" t="n">
        <x:v>60</x:v>
      </x:c>
      <x:c r="H112" s="8" t="n">
        <x:v>0</x:v>
      </x:c>
      <x:c r="I112" s="8" t="n">
        <x:v>700.1450115741</x:v>
      </x:c>
      <x:c r="J112" s="8" t="n">
        <x:v>60</x:v>
      </x:c>
      <x:c r="K112" s="8" t="n">
        <x:v>4</x:v>
      </x:c>
      <x:c r="L112" s="2"/>
      <x:c r="M112" s="2"/>
      <x:c r="N112" s="2"/>
    </x:row>
    <x:row r="113" ht="22" customHeight="1">
      <x:c r="A113" s="4" t="d">
        <x:v>2017-05-01T00:00:00.000Z</x:v>
      </x:c>
      <x:c r="B113" s="2" t="str">
        <x:v>ES</x:v>
      </x:c>
      <x:c r="C113" s="8" t="n">
        <x:v>94</x:v>
      </x:c>
      <x:c r="D113" s="8" t="n">
        <x:v>90</x:v>
      </x:c>
      <x:c r="E113" s="9" t="n">
        <x:v>12378.53</x:v>
      </x:c>
      <x:c r="F113" s="9" t="n">
        <x:v>2280.15</x:v>
      </x:c>
      <x:c r="G113" s="8" t="n">
        <x:v>90</x:v>
      </x:c>
      <x:c r="H113" s="8" t="n">
        <x:v>3</x:v>
      </x:c>
      <x:c r="I113" s="8" t="n">
        <x:v>1147.6949189815</x:v>
      </x:c>
      <x:c r="J113" s="8" t="n">
        <x:v>87</x:v>
      </x:c>
      <x:c r="K113" s="8" t="n">
        <x:v>8</x:v>
      </x:c>
      <x:c r="L113" s="2"/>
      <x:c r="M113" s="2"/>
      <x:c r="N113" s="2"/>
    </x:row>
    <x:row r="114" ht="22" customHeight="1">
      <x:c r="A114" s="4" t="d">
        <x:v>2017-05-01T00:00:00.000Z</x:v>
      </x:c>
      <x:c r="B114" s="2" t="str">
        <x:v>GO</x:v>
      </x:c>
      <x:c r="C114" s="8" t="n">
        <x:v>87</x:v>
      </x:c>
      <x:c r="D114" s="8" t="n">
        <x:v>83</x:v>
      </x:c>
      <x:c r="E114" s="9" t="n">
        <x:v>16481.18</x:v>
      </x:c>
      <x:c r="F114" s="9" t="n">
        <x:v>2364.37</x:v>
      </x:c>
      <x:c r="G114" s="8" t="n">
        <x:v>83</x:v>
      </x:c>
      <x:c r="H114" s="8" t="n">
        <x:v>3</x:v>
      </x:c>
      <x:c r="I114" s="8" t="n">
        <x:v>1325.7330092593</x:v>
      </x:c>
      <x:c r="J114" s="8" t="n">
        <x:v>83</x:v>
      </x:c>
      <x:c r="K114" s="8" t="n">
        <x:v>9</x:v>
      </x:c>
      <x:c r="L114" s="2"/>
      <x:c r="M114" s="2"/>
      <x:c r="N114" s="2"/>
    </x:row>
    <x:row r="115" ht="22" customHeight="1">
      <x:c r="A115" s="4" t="d">
        <x:v>2017-05-01T00:00:00.000Z</x:v>
      </x:c>
      <x:c r="B115" s="2" t="str">
        <x:v>MA</x:v>
      </x:c>
      <x:c r="C115" s="8" t="n">
        <x:v>33</x:v>
      </x:c>
      <x:c r="D115" s="8" t="n">
        <x:v>31</x:v>
      </x:c>
      <x:c r="E115" s="9" t="n">
        <x:v>3274.18</x:v>
      </x:c>
      <x:c r="F115" s="9" t="n">
        <x:v>1000.47</x:v>
      </x:c>
      <x:c r="G115" s="8" t="n">
        <x:v>31</x:v>
      </x:c>
      <x:c r="H115" s="8" t="n">
        <x:v>0</x:v>
      </x:c>
      <x:c r="I115" s="8" t="n">
        <x:v>510.636724537</x:v>
      </x:c>
      <x:c r="J115" s="8" t="n">
        <x:v>31</x:v>
      </x:c>
      <x:c r="K115" s="8" t="n">
        <x:v>1</x:v>
      </x:c>
      <x:c r="L115" s="2"/>
      <x:c r="M115" s="2"/>
      <x:c r="N115" s="2"/>
    </x:row>
    <x:row r="116" ht="22" customHeight="1">
      <x:c r="A116" s="4" t="d">
        <x:v>2017-05-01T00:00:00.000Z</x:v>
      </x:c>
      <x:c r="B116" s="2" t="str">
        <x:v>MG</x:v>
      </x:c>
      <x:c r="C116" s="8" t="n">
        <x:v>428</x:v>
      </x:c>
      <x:c r="D116" s="8" t="n">
        <x:v>412</x:v>
      </x:c>
      <x:c r="E116" s="9" t="n">
        <x:v>48839.67</x:v>
      </x:c>
      <x:c r="F116" s="9" t="n">
        <x:v>8554.79</x:v>
      </x:c>
      <x:c r="G116" s="8" t="n">
        <x:v>412</x:v>
      </x:c>
      <x:c r="H116" s="8" t="n">
        <x:v>7</x:v>
      </x:c>
      <x:c r="I116" s="8" t="n">
        <x:v>4397.1651157407</x:v>
      </x:c>
      <x:c r="J116" s="8" t="n">
        <x:v>411</x:v>
      </x:c>
      <x:c r="K116" s="8" t="n">
        <x:v>44</x:v>
      </x:c>
      <x:c r="L116" s="2"/>
      <x:c r="M116" s="2"/>
      <x:c r="N116" s="2"/>
    </x:row>
    <x:row r="117" ht="22" customHeight="1">
      <x:c r="A117" s="4" t="d">
        <x:v>2017-05-01T00:00:00.000Z</x:v>
      </x:c>
      <x:c r="B117" s="2" t="str">
        <x:v>MS</x:v>
      </x:c>
      <x:c r="C117" s="8" t="n">
        <x:v>29</x:v>
      </x:c>
      <x:c r="D117" s="8" t="n">
        <x:v>26</x:v>
      </x:c>
      <x:c r="E117" s="9" t="n">
        <x:v>3167.35</x:v>
      </x:c>
      <x:c r="F117" s="9" t="n">
        <x:v>554.97</x:v>
      </x:c>
      <x:c r="G117" s="8" t="n">
        <x:v>26</x:v>
      </x:c>
      <x:c r="H117" s="8" t="n">
        <x:v>0</x:v>
      </x:c>
      <x:c r="I117" s="8" t="n">
        <x:v>326.9875925926</x:v>
      </x:c>
      <x:c r="J117" s="8" t="n">
        <x:v>26</x:v>
      </x:c>
      <x:c r="K117" s="8" t="n">
        <x:v>1</x:v>
      </x:c>
      <x:c r="L117" s="2"/>
      <x:c r="M117" s="2"/>
      <x:c r="N117" s="2"/>
    </x:row>
    <x:row r="118" ht="22" customHeight="1">
      <x:c r="A118" s="4" t="d">
        <x:v>2017-05-01T00:00:00.000Z</x:v>
      </x:c>
      <x:c r="B118" s="2" t="str">
        <x:v>MT</x:v>
      </x:c>
      <x:c r="C118" s="8" t="n">
        <x:v>37</x:v>
      </x:c>
      <x:c r="D118" s="8" t="n">
        <x:v>37</x:v>
      </x:c>
      <x:c r="E118" s="9" t="n">
        <x:v>6731.11</x:v>
      </x:c>
      <x:c r="F118" s="9" t="n">
        <x:v>949.46</x:v>
      </x:c>
      <x:c r="G118" s="8" t="n">
        <x:v>37</x:v>
      </x:c>
      <x:c r="H118" s="8" t="n">
        <x:v>1</x:v>
      </x:c>
      <x:c r="I118" s="8" t="n">
        <x:v>556.3586921296</x:v>
      </x:c>
      <x:c r="J118" s="8" t="n">
        <x:v>37</x:v>
      </x:c>
      <x:c r="K118" s="8" t="n">
        <x:v>3</x:v>
      </x:c>
      <x:c r="L118" s="2"/>
      <x:c r="M118" s="2"/>
      <x:c r="N118" s="2"/>
    </x:row>
    <x:row r="119" ht="22" customHeight="1">
      <x:c r="A119" s="4" t="d">
        <x:v>2017-05-01T00:00:00.000Z</x:v>
      </x:c>
      <x:c r="B119" s="2" t="str">
        <x:v>PA</x:v>
      </x:c>
      <x:c r="C119" s="8" t="n">
        <x:v>35</x:v>
      </x:c>
      <x:c r="D119" s="8" t="n">
        <x:v>35</x:v>
      </x:c>
      <x:c r="E119" s="9" t="n">
        <x:v>5404.14</x:v>
      </x:c>
      <x:c r="F119" s="9" t="n">
        <x:v>1166.56</x:v>
      </x:c>
      <x:c r="G119" s="8" t="n">
        <x:v>35</x:v>
      </x:c>
      <x:c r="H119" s="8" t="n">
        <x:v>1</x:v>
      </x:c>
      <x:c r="I119" s="8" t="n">
        <x:v>669.2771527778</x:v>
      </x:c>
      <x:c r="J119" s="8" t="n">
        <x:v>35</x:v>
      </x:c>
      <x:c r="K119" s="8" t="n">
        <x:v>4</x:v>
      </x:c>
      <x:c r="L119" s="2"/>
      <x:c r="M119" s="2"/>
      <x:c r="N119" s="2"/>
    </x:row>
    <x:row r="120" ht="22" customHeight="1">
      <x:c r="A120" s="4" t="d">
        <x:v>2017-05-01T00:00:00.000Z</x:v>
      </x:c>
      <x:c r="B120" s="2" t="str">
        <x:v>PB</x:v>
      </x:c>
      <x:c r="C120" s="8" t="n">
        <x:v>18</x:v>
      </x:c>
      <x:c r="D120" s="8" t="n">
        <x:v>17</x:v>
      </x:c>
      <x:c r="E120" s="9" t="n">
        <x:v>2809.22</x:v>
      </x:c>
      <x:c r="F120" s="9" t="n">
        <x:v>563.27</x:v>
      </x:c>
      <x:c r="G120" s="8" t="n">
        <x:v>17</x:v>
      </x:c>
      <x:c r="H120" s="8" t="n">
        <x:v>1</x:v>
      </x:c>
      <x:c r="I120" s="8" t="n">
        <x:v>287.9738078704</x:v>
      </x:c>
      <x:c r="J120" s="8" t="n">
        <x:v>17</x:v>
      </x:c>
      <x:c r="K120" s="8" t="n">
        <x:v>3</x:v>
      </x:c>
      <x:c r="L120" s="2"/>
      <x:c r="M120" s="2"/>
      <x:c r="N120" s="2"/>
    </x:row>
    <x:row r="121" ht="22" customHeight="1">
      <x:c r="A121" s="4" t="d">
        <x:v>2017-05-01T00:00:00.000Z</x:v>
      </x:c>
      <x:c r="B121" s="2" t="str">
        <x:v>PE</x:v>
      </x:c>
      <x:c r="C121" s="8" t="n">
        <x:v>68</x:v>
      </x:c>
      <x:c r="D121" s="8" t="n">
        <x:v>63</x:v>
      </x:c>
      <x:c r="E121" s="9" t="n">
        <x:v>10018.82</x:v>
      </x:c>
      <x:c r="F121" s="9" t="n">
        <x:v>2411.91</x:v>
      </x:c>
      <x:c r="G121" s="8" t="n">
        <x:v>63</x:v>
      </x:c>
      <x:c r="H121" s="8" t="n">
        <x:v>1</x:v>
      </x:c>
      <x:c r="I121" s="8" t="n">
        <x:v>955.0022453704</x:v>
      </x:c>
      <x:c r="J121" s="8" t="n">
        <x:v>63</x:v>
      </x:c>
      <x:c r="K121" s="8" t="n">
        <x:v>7</x:v>
      </x:c>
      <x:c r="L121" s="2"/>
      <x:c r="M121" s="2"/>
      <x:c r="N121" s="2"/>
    </x:row>
    <x:row r="122" ht="22" customHeight="1">
      <x:c r="A122" s="4" t="d">
        <x:v>2017-05-01T00:00:00.000Z</x:v>
      </x:c>
      <x:c r="B122" s="2" t="str">
        <x:v>PI</x:v>
      </x:c>
      <x:c r="C122" s="8" t="n">
        <x:v>25</x:v>
      </x:c>
      <x:c r="D122" s="8" t="n">
        <x:v>23</x:v>
      </x:c>
      <x:c r="E122" s="9" t="n">
        <x:v>5796.52</x:v>
      </x:c>
      <x:c r="F122" s="9" t="n">
        <x:v>880.33</x:v>
      </x:c>
      <x:c r="G122" s="8" t="n">
        <x:v>23</x:v>
      </x:c>
      <x:c r="H122" s="8" t="n">
        <x:v>0</x:v>
      </x:c>
      <x:c r="I122" s="8" t="n">
        <x:v>328.1771990741</x:v>
      </x:c>
      <x:c r="J122" s="8" t="n">
        <x:v>23</x:v>
      </x:c>
      <x:c r="K122" s="8" t="n">
        <x:v>1</x:v>
      </x:c>
      <x:c r="L122" s="2"/>
      <x:c r="M122" s="2"/>
      <x:c r="N122" s="2"/>
    </x:row>
    <x:row r="123" ht="22" customHeight="1">
      <x:c r="A123" s="4" t="d">
        <x:v>2017-05-01T00:00:00.000Z</x:v>
      </x:c>
      <x:c r="B123" s="2" t="str">
        <x:v>PR</x:v>
      </x:c>
      <x:c r="C123" s="8" t="n">
        <x:v>213</x:v>
      </x:c>
      <x:c r="D123" s="8" t="n">
        <x:v>206</x:v>
      </x:c>
      <x:c r="E123" s="9" t="n">
        <x:v>31135.1</x:v>
      </x:c>
      <x:c r="F123" s="9" t="n">
        <x:v>4423.9</x:v>
      </x:c>
      <x:c r="G123" s="8" t="n">
        <x:v>206</x:v>
      </x:c>
      <x:c r="H123" s="8" t="n">
        <x:v>2</x:v>
      </x:c>
      <x:c r="I123" s="8" t="n">
        <x:v>2116.8805787037</x:v>
      </x:c>
      <x:c r="J123" s="8" t="n">
        <x:v>205</x:v>
      </x:c>
      <x:c r="K123" s="8" t="n">
        <x:v>16</x:v>
      </x:c>
      <x:c r="L123" s="2"/>
      <x:c r="M123" s="2"/>
      <x:c r="N123" s="2"/>
    </x:row>
    <x:row r="124" ht="22" customHeight="1">
      <x:c r="A124" s="4" t="d">
        <x:v>2017-05-01T00:00:00.000Z</x:v>
      </x:c>
      <x:c r="B124" s="2" t="str">
        <x:v>RJ</x:v>
      </x:c>
      <x:c r="C124" s="8" t="n">
        <x:v>488</x:v>
      </x:c>
      <x:c r="D124" s="8" t="n">
        <x:v>466</x:v>
      </x:c>
      <x:c r="E124" s="9" t="n">
        <x:v>70967.17</x:v>
      </x:c>
      <x:c r="F124" s="9" t="n">
        <x:v>10315.48</x:v>
      </x:c>
      <x:c r="G124" s="8" t="n">
        <x:v>466</x:v>
      </x:c>
      <x:c r="H124" s="8" t="n">
        <x:v>13</x:v>
      </x:c>
      <x:c r="I124" s="8" t="n">
        <x:v>5188.4369791667</x:v>
      </x:c>
      <x:c r="J124" s="8" t="n">
        <x:v>462</x:v>
      </x:c>
      <x:c r="K124" s="8" t="n">
        <x:v>60</x:v>
      </x:c>
      <x:c r="L124" s="2"/>
      <x:c r="M124" s="2"/>
      <x:c r="N124" s="2"/>
    </x:row>
    <x:row r="125" ht="22" customHeight="1">
      <x:c r="A125" s="4" t="d">
        <x:v>2017-05-01T00:00:00.000Z</x:v>
      </x:c>
      <x:c r="B125" s="2" t="str">
        <x:v>RN</x:v>
      </x:c>
      <x:c r="C125" s="8" t="n">
        <x:v>17</x:v>
      </x:c>
      <x:c r="D125" s="8" t="n">
        <x:v>17</x:v>
      </x:c>
      <x:c r="E125" s="9" t="n">
        <x:v>4683.56</x:v>
      </x:c>
      <x:c r="F125" s="9" t="n">
        <x:v>899.31</x:v>
      </x:c>
      <x:c r="G125" s="8" t="n">
        <x:v>17</x:v>
      </x:c>
      <x:c r="H125" s="8" t="n">
        <x:v>0</x:v>
      </x:c>
      <x:c r="I125" s="8" t="n">
        <x:v>268.4872222222</x:v>
      </x:c>
      <x:c r="J125" s="8" t="n">
        <x:v>17</x:v>
      </x:c>
      <x:c r="K125" s="8" t="n">
        <x:v>2</x:v>
      </x:c>
      <x:c r="L125" s="2"/>
      <x:c r="M125" s="2"/>
      <x:c r="N125" s="2"/>
    </x:row>
    <x:row r="126" ht="22" customHeight="1">
      <x:c r="A126" s="4" t="d">
        <x:v>2017-05-01T00:00:00.000Z</x:v>
      </x:c>
      <x:c r="B126" s="2" t="str">
        <x:v>RO</x:v>
      </x:c>
      <x:c r="C126" s="8" t="n">
        <x:v>9</x:v>
      </x:c>
      <x:c r="D126" s="8" t="n">
        <x:v>8</x:v>
      </x:c>
      <x:c r="E126" s="9" t="n">
        <x:v>551.46</x:v>
      </x:c>
      <x:c r="F126" s="9" t="n">
        <x:v>277.42</x:v>
      </x:c>
      <x:c r="G126" s="8" t="n">
        <x:v>8</x:v>
      </x:c>
      <x:c r="H126" s="8" t="n">
        <x:v>0</x:v>
      </x:c>
      <x:c r="I126" s="8" t="n">
        <x:v>135.3453356481</x:v>
      </x:c>
      <x:c r="J126" s="8" t="n">
        <x:v>7</x:v>
      </x:c>
      <x:c r="K126" s="8" t="n">
        <x:v>1</x:v>
      </x:c>
      <x:c r="L126" s="2"/>
      <x:c r="M126" s="2"/>
      <x:c r="N126" s="2"/>
    </x:row>
    <x:row r="127" ht="22" customHeight="1">
      <x:c r="A127" s="4" t="d">
        <x:v>2017-05-01T00:00:00.000Z</x:v>
      </x:c>
      <x:c r="B127" s="2" t="str">
        <x:v>RR</x:v>
      </x:c>
      <x:c r="C127" s="8" t="n">
        <x:v>2</x:v>
      </x:c>
      <x:c r="D127" s="8" t="n">
        <x:v>2</x:v>
      </x:c>
      <x:c r="E127" s="9" t="n">
        <x:v>233.11</x:v>
      </x:c>
      <x:c r="F127" s="9" t="n">
        <x:v>84.86</x:v>
      </x:c>
      <x:c r="G127" s="8" t="n">
        <x:v>2</x:v>
      </x:c>
      <x:c r="H127" s="8" t="n">
        <x:v>0</x:v>
      </x:c>
      <x:c r="I127" s="8" t="n">
        <x:v>56.6899768519</x:v>
      </x:c>
      <x:c r="J127" s="8" t="n">
        <x:v>2</x:v>
      </x:c>
      <x:c r="K127" s="8" t="n">
        <x:v>0</x:v>
      </x:c>
      <x:c r="L127" s="2"/>
      <x:c r="M127" s="2"/>
      <x:c r="N127" s="2"/>
    </x:row>
    <x:row r="128" ht="22" customHeight="1">
      <x:c r="A128" s="4" t="d">
        <x:v>2017-05-01T00:00:00.000Z</x:v>
      </x:c>
      <x:c r="B128" s="2" t="str">
        <x:v>RS</x:v>
      </x:c>
      <x:c r="C128" s="8" t="n">
        <x:v>208</x:v>
      </x:c>
      <x:c r="D128" s="8" t="n">
        <x:v>206</x:v>
      </x:c>
      <x:c r="E128" s="9" t="n">
        <x:v>28407.76</x:v>
      </x:c>
      <x:c r="F128" s="9" t="n">
        <x:v>4609.8</x:v>
      </x:c>
      <x:c r="G128" s="8" t="n">
        <x:v>205</x:v>
      </x:c>
      <x:c r="H128" s="8" t="n">
        <x:v>1</x:v>
      </x:c>
      <x:c r="I128" s="8" t="n">
        <x:v>2362.300474537</x:v>
      </x:c>
      <x:c r="J128" s="8" t="n">
        <x:v>206</x:v>
      </x:c>
      <x:c r="K128" s="8" t="n">
        <x:v>16</x:v>
      </x:c>
      <x:c r="L128" s="2"/>
      <x:c r="M128" s="2"/>
      <x:c r="N128" s="2"/>
    </x:row>
    <x:row r="129" ht="22" customHeight="1">
      <x:c r="A129" s="4" t="d">
        <x:v>2017-05-01T00:00:00.000Z</x:v>
      </x:c>
      <x:c r="B129" s="2" t="str">
        <x:v>SC</x:v>
      </x:c>
      <x:c r="C129" s="8" t="n">
        <x:v>152</x:v>
      </x:c>
      <x:c r="D129" s="8" t="n">
        <x:v>146</x:v>
      </x:c>
      <x:c r="E129" s="9" t="n">
        <x:v>21182.79</x:v>
      </x:c>
      <x:c r="F129" s="9" t="n">
        <x:v>3310.5</x:v>
      </x:c>
      <x:c r="G129" s="8" t="n">
        <x:v>146</x:v>
      </x:c>
      <x:c r="H129" s="8" t="n">
        <x:v>7</x:v>
      </x:c>
      <x:c r="I129" s="8" t="n">
        <x:v>2094.5242361111</x:v>
      </x:c>
      <x:c r="J129" s="8" t="n">
        <x:v>142</x:v>
      </x:c>
      <x:c r="K129" s="8" t="n">
        <x:v>15</x:v>
      </x:c>
      <x:c r="L129" s="2"/>
      <x:c r="M129" s="2"/>
      <x:c r="N129" s="2"/>
    </x:row>
    <x:row r="130" ht="22" customHeight="1">
      <x:c r="A130" s="4" t="d">
        <x:v>2017-05-01T00:00:00.000Z</x:v>
      </x:c>
      <x:c r="B130" s="2" t="str">
        <x:v>SE</x:v>
      </x:c>
      <x:c r="C130" s="8" t="n">
        <x:v>11</x:v>
      </x:c>
      <x:c r="D130" s="8" t="n">
        <x:v>11</x:v>
      </x:c>
      <x:c r="E130" s="9" t="n">
        <x:v>681.09</x:v>
      </x:c>
      <x:c r="F130" s="9" t="n">
        <x:v>378.44</x:v>
      </x:c>
      <x:c r="G130" s="8" t="n">
        <x:v>11</x:v>
      </x:c>
      <x:c r="H130" s="8" t="n">
        <x:v>0</x:v>
      </x:c>
      <x:c r="I130" s="8" t="n">
        <x:v>218.323287037</x:v>
      </x:c>
      <x:c r="J130" s="8" t="n">
        <x:v>11</x:v>
      </x:c>
      <x:c r="K130" s="8" t="n">
        <x:v>0</x:v>
      </x:c>
      <x:c r="L130" s="2"/>
      <x:c r="M130" s="2"/>
      <x:c r="N130" s="2"/>
    </x:row>
    <x:row r="131" ht="22" customHeight="1">
      <x:c r="A131" s="4" t="d">
        <x:v>2017-05-01T00:00:00.000Z</x:v>
      </x:c>
      <x:c r="B131" s="2" t="str">
        <x:v>SP</x:v>
      </x:c>
      <x:c r="C131" s="8" t="n">
        <x:v>1425</x:v>
      </x:c>
      <x:c r="D131" s="8" t="n">
        <x:v>1363</x:v>
      </x:c>
      <x:c r="E131" s="9" t="n">
        <x:v>171540.35</x:v>
      </x:c>
      <x:c r="F131" s="9" t="n">
        <x:v>23449.88</x:v>
      </x:c>
      <x:c r="G131" s="8" t="n">
        <x:v>1363</x:v>
      </x:c>
      <x:c r="H131" s="8" t="n">
        <x:v>58</x:v>
      </x:c>
      <x:c r="I131" s="8" t="n">
        <x:v>12167.5424537037</x:v>
      </x:c>
      <x:c r="J131" s="8" t="n">
        <x:v>1351</x:v>
      </x:c>
      <x:c r="K131" s="8" t="n">
        <x:v>127</x:v>
      </x:c>
      <x:c r="L131" s="2"/>
      <x:c r="M131" s="2"/>
      <x:c r="N131" s="2"/>
    </x:row>
    <x:row r="132" ht="22" customHeight="1">
      <x:c r="A132" s="4" t="d">
        <x:v>2017-05-01T00:00:00.000Z</x:v>
      </x:c>
      <x:c r="B132" s="2" t="str">
        <x:v>TO</x:v>
      </x:c>
      <x:c r="C132" s="8" t="n">
        <x:v>18</x:v>
      </x:c>
      <x:c r="D132" s="8" t="n">
        <x:v>17</x:v>
      </x:c>
      <x:c r="E132" s="9" t="n">
        <x:v>2073.43</x:v>
      </x:c>
      <x:c r="F132" s="9" t="n">
        <x:v>528.48</x:v>
      </x:c>
      <x:c r="G132" s="8" t="n">
        <x:v>17</x:v>
      </x:c>
      <x:c r="H132" s="8" t="n">
        <x:v>0</x:v>
      </x:c>
      <x:c r="I132" s="8" t="n">
        <x:v>219.3522685185</x:v>
      </x:c>
      <x:c r="J132" s="8" t="n">
        <x:v>16</x:v>
      </x:c>
      <x:c r="K132" s="8" t="n">
        <x:v>2</x:v>
      </x:c>
      <x:c r="L132" s="2"/>
      <x:c r="M132" s="2"/>
      <x:c r="N132" s="2"/>
    </x:row>
    <x:row r="133" ht="22" customHeight="1">
      <x:c r="A133" s="4" t="d">
        <x:v>2017-06-01T00:00:00.000Z</x:v>
      </x:c>
      <x:c r="B133" s="2" t="str">
        <x:v>AC</x:v>
      </x:c>
      <x:c r="C133" s="8" t="n">
        <x:v>4</x:v>
      </x:c>
      <x:c r="D133" s="8" t="n">
        <x:v>4</x:v>
      </x:c>
      <x:c r="E133" s="9" t="n">
        <x:v>385.78</x:v>
      </x:c>
      <x:c r="F133" s="9" t="n">
        <x:v>124.49</x:v>
      </x:c>
      <x:c r="G133" s="8" t="n">
        <x:v>4</x:v>
      </x:c>
      <x:c r="H133" s="8" t="n">
        <x:v>0</x:v>
      </x:c>
      <x:c r="I133" s="8" t="n">
        <x:v>74.7655092593</x:v>
      </x:c>
      <x:c r="J133" s="8" t="n">
        <x:v>4</x:v>
      </x:c>
      <x:c r="K133" s="8" t="n">
        <x:v>0</x:v>
      </x:c>
      <x:c r="L133" s="2"/>
      <x:c r="M133" s="2"/>
      <x:c r="N133" s="2"/>
    </x:row>
    <x:row r="134" ht="22" customHeight="1">
      <x:c r="A134" s="4" t="d">
        <x:v>2017-06-01T00:00:00.000Z</x:v>
      </x:c>
      <x:c r="B134" s="2" t="str">
        <x:v>AL</x:v>
      </x:c>
      <x:c r="C134" s="8" t="n">
        <x:v>10</x:v>
      </x:c>
      <x:c r="D134" s="8" t="n">
        <x:v>10</x:v>
      </x:c>
      <x:c r="E134" s="9" t="n">
        <x:v>951.65</x:v>
      </x:c>
      <x:c r="F134" s="9" t="n">
        <x:v>317.32</x:v>
      </x:c>
      <x:c r="G134" s="8" t="n">
        <x:v>10</x:v>
      </x:c>
      <x:c r="H134" s="8" t="n">
        <x:v>3</x:v>
      </x:c>
      <x:c r="I134" s="8" t="n">
        <x:v>261.7256597222</x:v>
      </x:c>
      <x:c r="J134" s="8" t="n">
        <x:v>10</x:v>
      </x:c>
      <x:c r="K134" s="8" t="n">
        <x:v>3</x:v>
      </x:c>
      <x:c r="L134" s="2"/>
      <x:c r="M134" s="2"/>
      <x:c r="N134" s="2"/>
    </x:row>
    <x:row r="135" ht="22" customHeight="1">
      <x:c r="A135" s="4" t="d">
        <x:v>2017-06-01T00:00:00.000Z</x:v>
      </x:c>
      <x:c r="B135" s="2" t="str">
        <x:v>AM</x:v>
      </x:c>
      <x:c r="C135" s="8" t="n">
        <x:v>1</x:v>
      </x:c>
      <x:c r="D135" s="8" t="n">
        <x:v>1</x:v>
      </x:c>
      <x:c r="E135" s="9" t="n">
        <x:v>169.99</x:v>
      </x:c>
      <x:c r="F135" s="9" t="n">
        <x:v>34.85</x:v>
      </x:c>
      <x:c r="G135" s="8" t="n">
        <x:v>1</x:v>
      </x:c>
      <x:c r="H135" s="8" t="n">
        <x:v>0</x:v>
      </x:c>
      <x:c r="I135" s="8" t="n">
        <x:v>5.534525463</x:v>
      </x:c>
      <x:c r="J135" s="8" t="n">
        <x:v>1</x:v>
      </x:c>
      <x:c r="K135" s="8" t="n">
        <x:v>1</x:v>
      </x:c>
      <x:c r="L135" s="2"/>
      <x:c r="M135" s="2"/>
      <x:c r="N135" s="2"/>
    </x:row>
    <x:row r="136" ht="22" customHeight="1">
      <x:c r="A136" s="4" t="d">
        <x:v>2017-06-01T00:00:00.000Z</x:v>
      </x:c>
      <x:c r="B136" s="2" t="str">
        <x:v>AP</x:v>
      </x:c>
      <x:c r="C136" s="8" t="n">
        <x:v>2</x:v>
      </x:c>
      <x:c r="D136" s="8" t="n">
        <x:v>2</x:v>
      </x:c>
      <x:c r="E136" s="9" t="n">
        <x:v>252.7</x:v>
      </x:c>
      <x:c r="F136" s="9" t="n">
        <x:v>117.04</x:v>
      </x:c>
      <x:c r="G136" s="8" t="n">
        <x:v>2</x:v>
      </x:c>
      <x:c r="H136" s="8" t="n">
        <x:v>0</x:v>
      </x:c>
      <x:c r="I136" s="8" t="n">
        <x:v>51.1015740741</x:v>
      </x:c>
      <x:c r="J136" s="8" t="n">
        <x:v>2</x:v>
      </x:c>
      <x:c r="K136" s="8" t="n">
        <x:v>0</x:v>
      </x:c>
      <x:c r="L136" s="2"/>
      <x:c r="M136" s="2"/>
      <x:c r="N136" s="2"/>
    </x:row>
    <x:row r="137" ht="22" customHeight="1">
      <x:c r="A137" s="4" t="d">
        <x:v>2017-06-01T00:00:00.000Z</x:v>
      </x:c>
      <x:c r="B137" s="2" t="str">
        <x:v>BA</x:v>
      </x:c>
      <x:c r="C137" s="8" t="n">
        <x:v>106</x:v>
      </x:c>
      <x:c r="D137" s="8" t="n">
        <x:v>103</x:v>
      </x:c>
      <x:c r="E137" s="9" t="n">
        <x:v>20109.67</x:v>
      </x:c>
      <x:c r="F137" s="9" t="n">
        <x:v>2763.25</x:v>
      </x:c>
      <x:c r="G137" s="8" t="n">
        <x:v>103</x:v>
      </x:c>
      <x:c r="H137" s="8" t="n">
        <x:v>8</x:v>
      </x:c>
      <x:c r="I137" s="8" t="n">
        <x:v>1889.9825810185</x:v>
      </x:c>
      <x:c r="J137" s="8" t="n">
        <x:v>102</x:v>
      </x:c>
      <x:c r="K137" s="8" t="n">
        <x:v>25</x:v>
      </x:c>
      <x:c r="L137" s="2"/>
      <x:c r="M137" s="2"/>
      <x:c r="N137" s="2"/>
    </x:row>
    <x:row r="138" ht="22" customHeight="1">
      <x:c r="A138" s="4" t="d">
        <x:v>2017-06-01T00:00:00.000Z</x:v>
      </x:c>
      <x:c r="B138" s="2" t="str">
        <x:v>CE</x:v>
      </x:c>
      <x:c r="C138" s="8" t="n">
        <x:v>47</x:v>
      </x:c>
      <x:c r="D138" s="8" t="n">
        <x:v>44</x:v>
      </x:c>
      <x:c r="E138" s="9" t="n">
        <x:v>9560.2</x:v>
      </x:c>
      <x:c r="F138" s="9" t="n">
        <x:v>1323.88</x:v>
      </x:c>
      <x:c r="G138" s="8" t="n">
        <x:v>44</x:v>
      </x:c>
      <x:c r="H138" s="8" t="n">
        <x:v>0</x:v>
      </x:c>
      <x:c r="I138" s="8" t="n">
        <x:v>730.2840856481</x:v>
      </x:c>
      <x:c r="J138" s="8" t="n">
        <x:v>43</x:v>
      </x:c>
      <x:c r="K138" s="8" t="n">
        <x:v>4</x:v>
      </x:c>
      <x:c r="L138" s="2"/>
      <x:c r="M138" s="2"/>
      <x:c r="N138" s="2"/>
    </x:row>
    <x:row r="139" ht="22" customHeight="1">
      <x:c r="A139" s="4" t="d">
        <x:v>2017-06-01T00:00:00.000Z</x:v>
      </x:c>
      <x:c r="B139" s="2" t="str">
        <x:v>DF</x:v>
      </x:c>
      <x:c r="C139" s="8" t="n">
        <x:v>70</x:v>
      </x:c>
      <x:c r="D139" s="8" t="n">
        <x:v>69</x:v>
      </x:c>
      <x:c r="E139" s="9" t="n">
        <x:v>8205.86</x:v>
      </x:c>
      <x:c r="F139" s="9" t="n">
        <x:v>1494.49</x:v>
      </x:c>
      <x:c r="G139" s="8" t="n">
        <x:v>69</x:v>
      </x:c>
      <x:c r="H139" s="8" t="n">
        <x:v>1</x:v>
      </x:c>
      <x:c r="I139" s="8" t="n">
        <x:v>955.5613888889</x:v>
      </x:c>
      <x:c r="J139" s="8" t="n">
        <x:v>69</x:v>
      </x:c>
      <x:c r="K139" s="8" t="n">
        <x:v>9</x:v>
      </x:c>
      <x:c r="L139" s="2"/>
      <x:c r="M139" s="2"/>
      <x:c r="N139" s="2"/>
    </x:row>
    <x:row r="140" ht="22" customHeight="1">
      <x:c r="A140" s="4" t="d">
        <x:v>2017-06-01T00:00:00.000Z</x:v>
      </x:c>
      <x:c r="B140" s="2" t="str">
        <x:v>ES</x:v>
      </x:c>
      <x:c r="C140" s="8" t="n">
        <x:v>80</x:v>
      </x:c>
      <x:c r="D140" s="8" t="n">
        <x:v>79</x:v>
      </x:c>
      <x:c r="E140" s="9" t="n">
        <x:v>10345.83</x:v>
      </x:c>
      <x:c r="F140" s="9" t="n">
        <x:v>1997.46</x:v>
      </x:c>
      <x:c r="G140" s="8" t="n">
        <x:v>79</x:v>
      </x:c>
      <x:c r="H140" s="8" t="n">
        <x:v>5</x:v>
      </x:c>
      <x:c r="I140" s="8" t="n">
        <x:v>1273.1964351852</x:v>
      </x:c>
      <x:c r="J140" s="8" t="n">
        <x:v>78</x:v>
      </x:c>
      <x:c r="K140" s="8" t="n">
        <x:v>5</x:v>
      </x:c>
      <x:c r="L140" s="2"/>
      <x:c r="M140" s="2"/>
      <x:c r="N140" s="2"/>
    </x:row>
    <x:row r="141" ht="22" customHeight="1">
      <x:c r="A141" s="4" t="d">
        <x:v>2017-06-01T00:00:00.000Z</x:v>
      </x:c>
      <x:c r="B141" s="2" t="str">
        <x:v>GO</x:v>
      </x:c>
      <x:c r="C141" s="8" t="n">
        <x:v>79</x:v>
      </x:c>
      <x:c r="D141" s="8" t="n">
        <x:v>73</x:v>
      </x:c>
      <x:c r="E141" s="9" t="n">
        <x:v>8797.84</x:v>
      </x:c>
      <x:c r="F141" s="9" t="n">
        <x:v>1787.38</x:v>
      </x:c>
      <x:c r="G141" s="8" t="n">
        <x:v>73</x:v>
      </x:c>
      <x:c r="H141" s="8" t="n">
        <x:v>3</x:v>
      </x:c>
      <x:c r="I141" s="8" t="n">
        <x:v>1140.2140393519</x:v>
      </x:c>
      <x:c r="J141" s="8" t="n">
        <x:v>73</x:v>
      </x:c>
      <x:c r="K141" s="8" t="n">
        <x:v>8</x:v>
      </x:c>
      <x:c r="L141" s="2"/>
      <x:c r="M141" s="2"/>
      <x:c r="N141" s="2"/>
    </x:row>
    <x:row r="142" ht="22" customHeight="1">
      <x:c r="A142" s="4" t="d">
        <x:v>2017-06-01T00:00:00.000Z</x:v>
      </x:c>
      <x:c r="B142" s="2" t="str">
        <x:v>MA</x:v>
      </x:c>
      <x:c r="C142" s="8" t="n">
        <x:v>17</x:v>
      </x:c>
      <x:c r="D142" s="8" t="n">
        <x:v>15</x:v>
      </x:c>
      <x:c r="E142" s="9" t="n">
        <x:v>1687.5</x:v>
      </x:c>
      <x:c r="F142" s="9" t="n">
        <x:v>536.56</x:v>
      </x:c>
      <x:c r="G142" s="8" t="n">
        <x:v>15</x:v>
      </x:c>
      <x:c r="H142" s="8" t="n">
        <x:v>0</x:v>
      </x:c>
      <x:c r="I142" s="8" t="n">
        <x:v>246.795</x:v>
      </x:c>
      <x:c r="J142" s="8" t="n">
        <x:v>15</x:v>
      </x:c>
      <x:c r="K142" s="8" t="n">
        <x:v>2</x:v>
      </x:c>
      <x:c r="L142" s="2"/>
      <x:c r="M142" s="2"/>
      <x:c r="N142" s="2"/>
    </x:row>
    <x:row r="143" ht="22" customHeight="1">
      <x:c r="A143" s="4" t="d">
        <x:v>2017-06-01T00:00:00.000Z</x:v>
      </x:c>
      <x:c r="B143" s="2" t="str">
        <x:v>MG</x:v>
      </x:c>
      <x:c r="C143" s="8" t="n">
        <x:v>363</x:v>
      </x:c>
      <x:c r="D143" s="8" t="n">
        <x:v>356</x:v>
      </x:c>
      <x:c r="E143" s="9" t="n">
        <x:v>46275.24</x:v>
      </x:c>
      <x:c r="F143" s="9" t="n">
        <x:v>8074.01</x:v>
      </x:c>
      <x:c r="G143" s="8" t="n">
        <x:v>356</x:v>
      </x:c>
      <x:c r="H143" s="8" t="n">
        <x:v>5</x:v>
      </x:c>
      <x:c r="I143" s="8" t="n">
        <x:v>4298.2041550926</x:v>
      </x:c>
      <x:c r="J143" s="8" t="n">
        <x:v>355</x:v>
      </x:c>
      <x:c r="K143" s="8" t="n">
        <x:v>37</x:v>
      </x:c>
      <x:c r="L143" s="2"/>
      <x:c r="M143" s="2"/>
      <x:c r="N143" s="2"/>
    </x:row>
    <x:row r="144" ht="22" customHeight="1">
      <x:c r="A144" s="4" t="d">
        <x:v>2017-06-01T00:00:00.000Z</x:v>
      </x:c>
      <x:c r="B144" s="2" t="str">
        <x:v>MS</x:v>
      </x:c>
      <x:c r="C144" s="8" t="n">
        <x:v>27</x:v>
      </x:c>
      <x:c r="D144" s="8" t="n">
        <x:v>27</x:v>
      </x:c>
      <x:c r="E144" s="9" t="n">
        <x:v>3807.42</x:v>
      </x:c>
      <x:c r="F144" s="9" t="n">
        <x:v>635.24</x:v>
      </x:c>
      <x:c r="G144" s="8" t="n">
        <x:v>27</x:v>
      </x:c>
      <x:c r="H144" s="8" t="n">
        <x:v>0</x:v>
      </x:c>
      <x:c r="I144" s="8" t="n">
        <x:v>392.4237962963</x:v>
      </x:c>
      <x:c r="J144" s="8" t="n">
        <x:v>27</x:v>
      </x:c>
      <x:c r="K144" s="8" t="n">
        <x:v>4</x:v>
      </x:c>
      <x:c r="L144" s="2"/>
      <x:c r="M144" s="2"/>
      <x:c r="N144" s="2"/>
    </x:row>
    <x:row r="145" ht="22" customHeight="1">
      <x:c r="A145" s="4" t="d">
        <x:v>2017-06-01T00:00:00.000Z</x:v>
      </x:c>
      <x:c r="B145" s="2" t="str">
        <x:v>MT</x:v>
      </x:c>
      <x:c r="C145" s="8" t="n">
        <x:v>25</x:v>
      </x:c>
      <x:c r="D145" s="8" t="n">
        <x:v>24</x:v>
      </x:c>
      <x:c r="E145" s="9" t="n">
        <x:v>4261.63</x:v>
      </x:c>
      <x:c r="F145" s="9" t="n">
        <x:v>560.28</x:v>
      </x:c>
      <x:c r="G145" s="8" t="n">
        <x:v>24</x:v>
      </x:c>
      <x:c r="H145" s="8" t="n">
        <x:v>1</x:v>
      </x:c>
      <x:c r="I145" s="8" t="n">
        <x:v>402.3436805556</x:v>
      </x:c>
      <x:c r="J145" s="8" t="n">
        <x:v>24</x:v>
      </x:c>
      <x:c r="K145" s="8" t="n">
        <x:v>2</x:v>
      </x:c>
      <x:c r="L145" s="2"/>
      <x:c r="M145" s="2"/>
      <x:c r="N145" s="2"/>
    </x:row>
    <x:row r="146" ht="22" customHeight="1">
      <x:c r="A146" s="4" t="d">
        <x:v>2017-06-01T00:00:00.000Z</x:v>
      </x:c>
      <x:c r="B146" s="2" t="str">
        <x:v>PA</x:v>
      </x:c>
      <x:c r="C146" s="8" t="n">
        <x:v>38</x:v>
      </x:c>
      <x:c r="D146" s="8" t="n">
        <x:v>36</x:v>
      </x:c>
      <x:c r="E146" s="9" t="n">
        <x:v>5496.48</x:v>
      </x:c>
      <x:c r="F146" s="9" t="n">
        <x:v>1113.87</x:v>
      </x:c>
      <x:c r="G146" s="8" t="n">
        <x:v>36</x:v>
      </x:c>
      <x:c r="H146" s="8" t="n">
        <x:v>2</x:v>
      </x:c>
      <x:c r="I146" s="8" t="n">
        <x:v>702.4644328704</x:v>
      </x:c>
      <x:c r="J146" s="8" t="n">
        <x:v>36</x:v>
      </x:c>
      <x:c r="K146" s="8" t="n">
        <x:v>2</x:v>
      </x:c>
      <x:c r="L146" s="2"/>
      <x:c r="M146" s="2"/>
      <x:c r="N146" s="2"/>
    </x:row>
    <x:row r="147" ht="22" customHeight="1">
      <x:c r="A147" s="4" t="d">
        <x:v>2017-06-01T00:00:00.000Z</x:v>
      </x:c>
      <x:c r="B147" s="2" t="str">
        <x:v>PB</x:v>
      </x:c>
      <x:c r="C147" s="8" t="n">
        <x:v>23</x:v>
      </x:c>
      <x:c r="D147" s="8" t="n">
        <x:v>22</x:v>
      </x:c>
      <x:c r="E147" s="9" t="n">
        <x:v>5731.92</x:v>
      </x:c>
      <x:c r="F147" s="9" t="n">
        <x:v>1181.07</x:v>
      </x:c>
      <x:c r="G147" s="8" t="n">
        <x:v>22</x:v>
      </x:c>
      <x:c r="H147" s="8" t="n">
        <x:v>2</x:v>
      </x:c>
      <x:c r="I147" s="8" t="n">
        <x:v>442.0562037037</x:v>
      </x:c>
      <x:c r="J147" s="8" t="n">
        <x:v>22</x:v>
      </x:c>
      <x:c r="K147" s="8" t="n">
        <x:v>3</x:v>
      </x:c>
      <x:c r="L147" s="2"/>
      <x:c r="M147" s="2"/>
      <x:c r="N147" s="2"/>
    </x:row>
    <x:row r="148" ht="22" customHeight="1">
      <x:c r="A148" s="4" t="d">
        <x:v>2017-06-01T00:00:00.000Z</x:v>
      </x:c>
      <x:c r="B148" s="2" t="str">
        <x:v>PE</x:v>
      </x:c>
      <x:c r="C148" s="8" t="n">
        <x:v>46</x:v>
      </x:c>
      <x:c r="D148" s="8" t="n">
        <x:v>41</x:v>
      </x:c>
      <x:c r="E148" s="9" t="n">
        <x:v>5489.06</x:v>
      </x:c>
      <x:c r="F148" s="9" t="n">
        <x:v>1618.96</x:v>
      </x:c>
      <x:c r="G148" s="8" t="n">
        <x:v>41</x:v>
      </x:c>
      <x:c r="H148" s="8" t="n">
        <x:v>2</x:v>
      </x:c>
      <x:c r="I148" s="8" t="n">
        <x:v>789.9066203704</x:v>
      </x:c>
      <x:c r="J148" s="8" t="n">
        <x:v>41</x:v>
      </x:c>
      <x:c r="K148" s="8" t="n">
        <x:v>4</x:v>
      </x:c>
      <x:c r="L148" s="2"/>
      <x:c r="M148" s="2"/>
      <x:c r="N148" s="2"/>
    </x:row>
    <x:row r="149" ht="22" customHeight="1">
      <x:c r="A149" s="4" t="d">
        <x:v>2017-06-01T00:00:00.000Z</x:v>
      </x:c>
      <x:c r="B149" s="2" t="str">
        <x:v>PI</x:v>
      </x:c>
      <x:c r="C149" s="8" t="n">
        <x:v>14</x:v>
      </x:c>
      <x:c r="D149" s="8" t="n">
        <x:v>14</x:v>
      </x:c>
      <x:c r="E149" s="9" t="n">
        <x:v>2147.47</x:v>
      </x:c>
      <x:c r="F149" s="9" t="n">
        <x:v>479.49</x:v>
      </x:c>
      <x:c r="G149" s="8" t="n">
        <x:v>14</x:v>
      </x:c>
      <x:c r="H149" s="8" t="n">
        <x:v>0</x:v>
      </x:c>
      <x:c r="I149" s="8" t="n">
        <x:v>189.3821875</x:v>
      </x:c>
      <x:c r="J149" s="8" t="n">
        <x:v>14</x:v>
      </x:c>
      <x:c r="K149" s="8" t="n">
        <x:v>1</x:v>
      </x:c>
      <x:c r="L149" s="2"/>
      <x:c r="M149" s="2"/>
      <x:c r="N149" s="2"/>
    </x:row>
    <x:row r="150" ht="22" customHeight="1">
      <x:c r="A150" s="4" t="d">
        <x:v>2017-06-01T00:00:00.000Z</x:v>
      </x:c>
      <x:c r="B150" s="2" t="str">
        <x:v>PR</x:v>
      </x:c>
      <x:c r="C150" s="8" t="n">
        <x:v>170</x:v>
      </x:c>
      <x:c r="D150" s="8" t="n">
        <x:v>167</x:v>
      </x:c>
      <x:c r="E150" s="9" t="n">
        <x:v>21153.29</x:v>
      </x:c>
      <x:c r="F150" s="9" t="n">
        <x:v>4358.33</x:v>
      </x:c>
      <x:c r="G150" s="8" t="n">
        <x:v>167</x:v>
      </x:c>
      <x:c r="H150" s="8" t="n">
        <x:v>2</x:v>
      </x:c>
      <x:c r="I150" s="8" t="n">
        <x:v>1887.0472916667</x:v>
      </x:c>
      <x:c r="J150" s="8" t="n">
        <x:v>167</x:v>
      </x:c>
      <x:c r="K150" s="8" t="n">
        <x:v>10</x:v>
      </x:c>
      <x:c r="L150" s="2"/>
      <x:c r="M150" s="2"/>
      <x:c r="N150" s="2"/>
    </x:row>
    <x:row r="151" ht="22" customHeight="1">
      <x:c r="A151" s="4" t="d">
        <x:v>2017-06-01T00:00:00.000Z</x:v>
      </x:c>
      <x:c r="B151" s="2" t="str">
        <x:v>RJ</x:v>
      </x:c>
      <x:c r="C151" s="8" t="n">
        <x:v>412</x:v>
      </x:c>
      <x:c r="D151" s="8" t="n">
        <x:v>399</x:v>
      </x:c>
      <x:c r="E151" s="9" t="n">
        <x:v>53295.95</x:v>
      </x:c>
      <x:c r="F151" s="9" t="n">
        <x:v>8571.23</x:v>
      </x:c>
      <x:c r="G151" s="8" t="n">
        <x:v>399</x:v>
      </x:c>
      <x:c r="H151" s="8" t="n">
        <x:v>13</x:v>
      </x:c>
      <x:c r="I151" s="8" t="n">
        <x:v>5003.0225925926</x:v>
      </x:c>
      <x:c r="J151" s="8" t="n">
        <x:v>392</x:v>
      </x:c>
      <x:c r="K151" s="8" t="n">
        <x:v>42</x:v>
      </x:c>
      <x:c r="L151" s="2"/>
      <x:c r="M151" s="2"/>
      <x:c r="N151" s="2"/>
    </x:row>
    <x:row r="152" ht="22" customHeight="1">
      <x:c r="A152" s="4" t="d">
        <x:v>2017-06-01T00:00:00.000Z</x:v>
      </x:c>
      <x:c r="B152" s="2" t="str">
        <x:v>RN</x:v>
      </x:c>
      <x:c r="C152" s="8" t="n">
        <x:v>13</x:v>
      </x:c>
      <x:c r="D152" s="8" t="n">
        <x:v>12</x:v>
      </x:c>
      <x:c r="E152" s="9" t="n">
        <x:v>1241.36</x:v>
      </x:c>
      <x:c r="F152" s="9" t="n">
        <x:v>351.7</x:v>
      </x:c>
      <x:c r="G152" s="8" t="n">
        <x:v>12</x:v>
      </x:c>
      <x:c r="H152" s="8" t="n">
        <x:v>1</x:v>
      </x:c>
      <x:c r="I152" s="8" t="n">
        <x:v>242.7437731481</x:v>
      </x:c>
      <x:c r="J152" s="8" t="n">
        <x:v>12</x:v>
      </x:c>
      <x:c r="K152" s="8" t="n">
        <x:v>2</x:v>
      </x:c>
      <x:c r="L152" s="2"/>
      <x:c r="M152" s="2"/>
      <x:c r="N152" s="2"/>
    </x:row>
    <x:row r="153" ht="22" customHeight="1">
      <x:c r="A153" s="4" t="d">
        <x:v>2017-06-01T00:00:00.000Z</x:v>
      </x:c>
      <x:c r="B153" s="2" t="str">
        <x:v>RO</x:v>
      </x:c>
      <x:c r="C153" s="8" t="n">
        <x:v>10</x:v>
      </x:c>
      <x:c r="D153" s="8" t="n">
        <x:v>10</x:v>
      </x:c>
      <x:c r="E153" s="9" t="n">
        <x:v>1800.92</x:v>
      </x:c>
      <x:c r="F153" s="9" t="n">
        <x:v>510.14</x:v>
      </x:c>
      <x:c r="G153" s="8" t="n">
        <x:v>10</x:v>
      </x:c>
      <x:c r="H153" s="8" t="n">
        <x:v>0</x:v>
      </x:c>
      <x:c r="I153" s="8" t="n">
        <x:v>179.9955324074</x:v>
      </x:c>
      <x:c r="J153" s="8" t="n">
        <x:v>10</x:v>
      </x:c>
      <x:c r="K153" s="8" t="n">
        <x:v>0</x:v>
      </x:c>
      <x:c r="L153" s="2"/>
      <x:c r="M153" s="2"/>
      <x:c r="N153" s="2"/>
    </x:row>
    <x:row r="154" ht="22" customHeight="1">
      <x:c r="A154" s="4" t="d">
        <x:v>2017-06-01T00:00:00.000Z</x:v>
      </x:c>
      <x:c r="B154" s="2" t="str">
        <x:v>RR</x:v>
      </x:c>
      <x:c r="C154" s="8" t="n">
        <x:v>3</x:v>
      </x:c>
      <x:c r="D154" s="8" t="n">
        <x:v>3</x:v>
      </x:c>
      <x:c r="E154" s="9" t="n">
        <x:v>93.4</x:v>
      </x:c>
      <x:c r="F154" s="9" t="n">
        <x:v>81.78</x:v>
      </x:c>
      <x:c r="G154" s="8" t="n">
        <x:v>3</x:v>
      </x:c>
      <x:c r="H154" s="8" t="n">
        <x:v>0</x:v>
      </x:c>
      <x:c r="I154" s="8" t="n">
        <x:v>59.2618518519</x:v>
      </x:c>
      <x:c r="J154" s="8" t="n">
        <x:v>3</x:v>
      </x:c>
      <x:c r="K154" s="8" t="n">
        <x:v>0</x:v>
      </x:c>
      <x:c r="L154" s="2"/>
      <x:c r="M154" s="2"/>
      <x:c r="N154" s="2"/>
    </x:row>
    <x:row r="155" ht="22" customHeight="1">
      <x:c r="A155" s="4" t="d">
        <x:v>2017-06-01T00:00:00.000Z</x:v>
      </x:c>
      <x:c r="B155" s="2" t="str">
        <x:v>RS</x:v>
      </x:c>
      <x:c r="C155" s="8" t="n">
        <x:v>221</x:v>
      </x:c>
      <x:c r="D155" s="8" t="n">
        <x:v>215</x:v>
      </x:c>
      <x:c r="E155" s="9" t="n">
        <x:v>23519.82</x:v>
      </x:c>
      <x:c r="F155" s="9" t="n">
        <x:v>4747.81</x:v>
      </x:c>
      <x:c r="G155" s="8" t="n">
        <x:v>215</x:v>
      </x:c>
      <x:c r="H155" s="8" t="n">
        <x:v>1</x:v>
      </x:c>
      <x:c r="I155" s="8" t="n">
        <x:v>2669.1677893519</x:v>
      </x:c>
      <x:c r="J155" s="8" t="n">
        <x:v>215</x:v>
      </x:c>
      <x:c r="K155" s="8" t="n">
        <x:v>9</x:v>
      </x:c>
      <x:c r="L155" s="2"/>
      <x:c r="M155" s="2"/>
      <x:c r="N155" s="2"/>
    </x:row>
    <x:row r="156" ht="22" customHeight="1">
      <x:c r="A156" s="4" t="d">
        <x:v>2017-06-01T00:00:00.000Z</x:v>
      </x:c>
      <x:c r="B156" s="2" t="str">
        <x:v>SC</x:v>
      </x:c>
      <x:c r="C156" s="8" t="n">
        <x:v>116</x:v>
      </x:c>
      <x:c r="D156" s="8" t="n">
        <x:v>109</x:v>
      </x:c>
      <x:c r="E156" s="9" t="n">
        <x:v>12874.44</x:v>
      </x:c>
      <x:c r="F156" s="9" t="n">
        <x:v>2648.11</x:v>
      </x:c>
      <x:c r="G156" s="8" t="n">
        <x:v>109</x:v>
      </x:c>
      <x:c r="H156" s="8" t="n">
        <x:v>4</x:v>
      </x:c>
      <x:c r="I156" s="8" t="n">
        <x:v>1573.4630439815</x:v>
      </x:c>
      <x:c r="J156" s="8" t="n">
        <x:v>108</x:v>
      </x:c>
      <x:c r="K156" s="8" t="n">
        <x:v>13</x:v>
      </x:c>
      <x:c r="L156" s="2"/>
      <x:c r="M156" s="2"/>
      <x:c r="N156" s="2"/>
    </x:row>
    <x:row r="157" ht="22" customHeight="1">
      <x:c r="A157" s="4" t="d">
        <x:v>2017-06-01T00:00:00.000Z</x:v>
      </x:c>
      <x:c r="B157" s="2" t="str">
        <x:v>SE</x:v>
      </x:c>
      <x:c r="C157" s="8" t="n">
        <x:v>9</x:v>
      </x:c>
      <x:c r="D157" s="8" t="n">
        <x:v>8</x:v>
      </x:c>
      <x:c r="E157" s="9" t="n">
        <x:v>1308.01</x:v>
      </x:c>
      <x:c r="F157" s="9" t="n">
        <x:v>311.22</x:v>
      </x:c>
      <x:c r="G157" s="8" t="n">
        <x:v>8</x:v>
      </x:c>
      <x:c r="H157" s="8" t="n">
        <x:v>0</x:v>
      </x:c>
      <x:c r="I157" s="8" t="n">
        <x:v>161.7214930556</x:v>
      </x:c>
      <x:c r="J157" s="8" t="n">
        <x:v>8</x:v>
      </x:c>
      <x:c r="K157" s="8" t="n">
        <x:v>3</x:v>
      </x:c>
      <x:c r="L157" s="2"/>
      <x:c r="M157" s="2"/>
      <x:c r="N157" s="2"/>
    </x:row>
    <x:row r="158" ht="22" customHeight="1">
      <x:c r="A158" s="4" t="d">
        <x:v>2017-06-01T00:00:00.000Z</x:v>
      </x:c>
      <x:c r="B158" s="2" t="str">
        <x:v>SP</x:v>
      </x:c>
      <x:c r="C158" s="8" t="n">
        <x:v>1331</x:v>
      </x:c>
      <x:c r="D158" s="8" t="n">
        <x:v>1284</x:v>
      </x:c>
      <x:c r="E158" s="9" t="n">
        <x:v>168994.76</x:v>
      </x:c>
      <x:c r="F158" s="9" t="n">
        <x:v>21911.1</x:v>
      </x:c>
      <x:c r="G158" s="8" t="n">
        <x:v>1284</x:v>
      </x:c>
      <x:c r="H158" s="8" t="n">
        <x:v>42</x:v>
      </x:c>
      <x:c r="I158" s="8" t="n">
        <x:v>11913.8362384259</x:v>
      </x:c>
      <x:c r="J158" s="8" t="n">
        <x:v>1272</x:v>
      </x:c>
      <x:c r="K158" s="8" t="n">
        <x:v>145</x:v>
      </x:c>
      <x:c r="L158" s="2"/>
      <x:c r="M158" s="2"/>
      <x:c r="N158" s="2"/>
    </x:row>
    <x:row r="159" ht="22" customHeight="1">
      <x:c r="A159" s="4" t="d">
        <x:v>2017-06-01T00:00:00.000Z</x:v>
      </x:c>
      <x:c r="B159" s="2" t="str">
        <x:v>TO</x:v>
      </x:c>
      <x:c r="C159" s="8" t="n">
        <x:v>8</x:v>
      </x:c>
      <x:c r="D159" s="8" t="n">
        <x:v>8</x:v>
      </x:c>
      <x:c r="E159" s="9" t="n">
        <x:v>3965.18</x:v>
      </x:c>
      <x:c r="F159" s="9" t="n">
        <x:v>475.94</x:v>
      </x:c>
      <x:c r="G159" s="8" t="n">
        <x:v>8</x:v>
      </x:c>
      <x:c r="H159" s="8" t="n">
        <x:v>0</x:v>
      </x:c>
      <x:c r="I159" s="8" t="n">
        <x:v>120.0789467593</x:v>
      </x:c>
      <x:c r="J159" s="8" t="n">
        <x:v>8</x:v>
      </x:c>
      <x:c r="K159" s="8" t="n">
        <x:v>0</x:v>
      </x:c>
      <x:c r="L159" s="2"/>
      <x:c r="M159" s="2"/>
      <x:c r="N159" s="2"/>
    </x:row>
    <x:row r="160" ht="22" customHeight="1">
      <x:c r="A160" s="4" t="d">
        <x:v>2017-07-01T00:00:00.000Z</x:v>
      </x:c>
      <x:c r="B160" s="2" t="str">
        <x:v>AC</x:v>
      </x:c>
      <x:c r="C160" s="8" t="n">
        <x:v>5</x:v>
      </x:c>
      <x:c r="D160" s="8" t="n">
        <x:v>5</x:v>
      </x:c>
      <x:c r="E160" s="9" t="n">
        <x:v>618.69</x:v>
      </x:c>
      <x:c r="F160" s="9" t="n">
        <x:v>175.71</x:v>
      </x:c>
      <x:c r="G160" s="8" t="n">
        <x:v>5</x:v>
      </x:c>
      <x:c r="H160" s="8" t="n">
        <x:v>0</x:v>
      </x:c>
      <x:c r="I160" s="8" t="n">
        <x:v>91.3148611111</x:v>
      </x:c>
      <x:c r="J160" s="8" t="n">
        <x:v>5</x:v>
      </x:c>
      <x:c r="K160" s="8" t="n">
        <x:v>1</x:v>
      </x:c>
      <x:c r="L160" s="2"/>
      <x:c r="M160" s="2"/>
      <x:c r="N160" s="2"/>
    </x:row>
    <x:row r="161" ht="22" customHeight="1">
      <x:c r="A161" s="4" t="d">
        <x:v>2017-07-01T00:00:00.000Z</x:v>
      </x:c>
      <x:c r="B161" s="2" t="str">
        <x:v>AL</x:v>
      </x:c>
      <x:c r="C161" s="8" t="n">
        <x:v>17</x:v>
      </x:c>
      <x:c r="D161" s="8" t="n">
        <x:v>15</x:v>
      </x:c>
      <x:c r="E161" s="9" t="n">
        <x:v>2238.94</x:v>
      </x:c>
      <x:c r="F161" s="9" t="n">
        <x:v>600.63</x:v>
      </x:c>
      <x:c r="G161" s="8" t="n">
        <x:v>15</x:v>
      </x:c>
      <x:c r="H161" s="8" t="n">
        <x:v>7</x:v>
      </x:c>
      <x:c r="I161" s="8" t="n">
        <x:v>468.0854398148</x:v>
      </x:c>
      <x:c r="J161" s="8" t="n">
        <x:v>14</x:v>
      </x:c>
      <x:c r="K161" s="8" t="n">
        <x:v>4</x:v>
      </x:c>
      <x:c r="L161" s="2"/>
      <x:c r="M161" s="2"/>
      <x:c r="N161" s="2"/>
    </x:row>
    <x:row r="162" ht="22" customHeight="1">
      <x:c r="A162" s="4" t="d">
        <x:v>2017-07-01T00:00:00.000Z</x:v>
      </x:c>
      <x:c r="B162" s="2" t="str">
        <x:v>AM</x:v>
      </x:c>
      <x:c r="C162" s="8" t="n">
        <x:v>5</x:v>
      </x:c>
      <x:c r="D162" s="8" t="n">
        <x:v>5</x:v>
      </x:c>
      <x:c r="E162" s="9" t="n">
        <x:v>705.6</x:v>
      </x:c>
      <x:c r="F162" s="9" t="n">
        <x:v>245.8</x:v>
      </x:c>
      <x:c r="G162" s="8" t="n">
        <x:v>5</x:v>
      </x:c>
      <x:c r="H162" s="8" t="n">
        <x:v>0</x:v>
      </x:c>
      <x:c r="I162" s="8" t="n">
        <x:v>93.593599537</x:v>
      </x:c>
      <x:c r="J162" s="8" t="n">
        <x:v>5</x:v>
      </x:c>
      <x:c r="K162" s="8" t="n">
        <x:v>1</x:v>
      </x:c>
      <x:c r="L162" s="2"/>
      <x:c r="M162" s="2"/>
      <x:c r="N162" s="2"/>
    </x:row>
    <x:row r="163" ht="22" customHeight="1">
      <x:c r="A163" s="4" t="d">
        <x:v>2017-07-01T00:00:00.000Z</x:v>
      </x:c>
      <x:c r="B163" s="2" t="str">
        <x:v>AP</x:v>
      </x:c>
      <x:c r="C163" s="8" t="n">
        <x:v>1</x:v>
      </x:c>
      <x:c r="D163" s="8" t="n">
        <x:v>1</x:v>
      </x:c>
      <x:c r="E163" s="9" t="n">
        <x:v>259.9</x:v>
      </x:c>
      <x:c r="F163" s="9" t="n">
        <x:v>32.49</x:v>
      </x:c>
      <x:c r="G163" s="8" t="n">
        <x:v>1</x:v>
      </x:c>
      <x:c r="H163" s="8" t="n">
        <x:v>0</x:v>
      </x:c>
      <x:c r="I163" s="8" t="n">
        <x:v>16.8329050926</x:v>
      </x:c>
      <x:c r="J163" s="8" t="n">
        <x:v>1</x:v>
      </x:c>
      <x:c r="K163" s="8" t="n">
        <x:v>0</x:v>
      </x:c>
      <x:c r="L163" s="2"/>
      <x:c r="M163" s="2"/>
      <x:c r="N163" s="2"/>
    </x:row>
    <x:row r="164" ht="22" customHeight="1">
      <x:c r="A164" s="4" t="d">
        <x:v>2017-07-01T00:00:00.000Z</x:v>
      </x:c>
      <x:c r="B164" s="2" t="str">
        <x:v>BA</x:v>
      </x:c>
      <x:c r="C164" s="8" t="n">
        <x:v>155</x:v>
      </x:c>
      <x:c r="D164" s="8" t="n">
        <x:v>144</x:v>
      </x:c>
      <x:c r="E164" s="9" t="n">
        <x:v>18469.74</x:v>
      </x:c>
      <x:c r="F164" s="9" t="n">
        <x:v>3650.13</x:v>
      </x:c>
      <x:c r="G164" s="8" t="n">
        <x:v>144</x:v>
      </x:c>
      <x:c r="H164" s="8" t="n">
        <x:v>7</x:v>
      </x:c>
      <x:c r="I164" s="8" t="n">
        <x:v>2606.2122800926</x:v>
      </x:c>
      <x:c r="J164" s="8" t="n">
        <x:v>143</x:v>
      </x:c>
      <x:c r="K164" s="8" t="n">
        <x:v>14</x:v>
      </x:c>
      <x:c r="L164" s="2"/>
      <x:c r="M164" s="2"/>
      <x:c r="N164" s="2"/>
    </x:row>
    <x:row r="165" ht="22" customHeight="1">
      <x:c r="A165" s="4" t="d">
        <x:v>2017-07-01T00:00:00.000Z</x:v>
      </x:c>
      <x:c r="B165" s="2" t="str">
        <x:v>CE</x:v>
      </x:c>
      <x:c r="C165" s="8" t="n">
        <x:v>53</x:v>
      </x:c>
      <x:c r="D165" s="8" t="n">
        <x:v>53</x:v>
      </x:c>
      <x:c r="E165" s="9" t="n">
        <x:v>7759.52</x:v>
      </x:c>
      <x:c r="F165" s="9" t="n">
        <x:v>2073.69</x:v>
      </x:c>
      <x:c r="G165" s="8" t="n">
        <x:v>53</x:v>
      </x:c>
      <x:c r="H165" s="8" t="n">
        <x:v>0</x:v>
      </x:c>
      <x:c r="I165" s="8" t="n">
        <x:v>892.4731481481</x:v>
      </x:c>
      <x:c r="J165" s="8" t="n">
        <x:v>53</x:v>
      </x:c>
      <x:c r="K165" s="8" t="n">
        <x:v>5</x:v>
      </x:c>
      <x:c r="L165" s="2"/>
      <x:c r="M165" s="2"/>
      <x:c r="N165" s="2"/>
    </x:row>
    <x:row r="166" ht="22" customHeight="1">
      <x:c r="A166" s="4" t="d">
        <x:v>2017-07-01T00:00:00.000Z</x:v>
      </x:c>
      <x:c r="B166" s="2" t="str">
        <x:v>DF</x:v>
      </x:c>
      <x:c r="C166" s="8" t="n">
        <x:v>77</x:v>
      </x:c>
      <x:c r="D166" s="8" t="n">
        <x:v>75</x:v>
      </x:c>
      <x:c r="E166" s="9" t="n">
        <x:v>10828.02</x:v>
      </x:c>
      <x:c r="F166" s="9" t="n">
        <x:v>2009.67</x:v>
      </x:c>
      <x:c r="G166" s="8" t="n">
        <x:v>75</x:v>
      </x:c>
      <x:c r="H166" s="8" t="n">
        <x:v>0</x:v>
      </x:c>
      <x:c r="I166" s="8" t="n">
        <x:v>951.6655555556</x:v>
      </x:c>
      <x:c r="J166" s="8" t="n">
        <x:v>75</x:v>
      </x:c>
      <x:c r="K166" s="8" t="n">
        <x:v>4</x:v>
      </x:c>
      <x:c r="L166" s="2"/>
      <x:c r="M166" s="2"/>
      <x:c r="N166" s="2"/>
    </x:row>
    <x:row r="167" ht="22" customHeight="1">
      <x:c r="A167" s="4" t="d">
        <x:v>2017-07-01T00:00:00.000Z</x:v>
      </x:c>
      <x:c r="B167" s="2" t="str">
        <x:v>ES</x:v>
      </x:c>
      <x:c r="C167" s="8" t="n">
        <x:v>83</x:v>
      </x:c>
      <x:c r="D167" s="8" t="n">
        <x:v>81</x:v>
      </x:c>
      <x:c r="E167" s="9" t="n">
        <x:v>7157.2</x:v>
      </x:c>
      <x:c r="F167" s="9" t="n">
        <x:v>1721.97</x:v>
      </x:c>
      <x:c r="G167" s="8" t="n">
        <x:v>81</x:v>
      </x:c>
      <x:c r="H167" s="8" t="n">
        <x:v>3</x:v>
      </x:c>
      <x:c r="I167" s="8" t="n">
        <x:v>1198.2990509259</x:v>
      </x:c>
      <x:c r="J167" s="8" t="n">
        <x:v>79</x:v>
      </x:c>
      <x:c r="K167" s="8" t="n">
        <x:v>15</x:v>
      </x:c>
      <x:c r="L167" s="2"/>
      <x:c r="M167" s="2"/>
      <x:c r="N167" s="2"/>
    </x:row>
    <x:row r="168" ht="22" customHeight="1">
      <x:c r="A168" s="4" t="d">
        <x:v>2017-07-01T00:00:00.000Z</x:v>
      </x:c>
      <x:c r="B168" s="2" t="str">
        <x:v>GO</x:v>
      </x:c>
      <x:c r="C168" s="8" t="n">
        <x:v>77</x:v>
      </x:c>
      <x:c r="D168" s="8" t="n">
        <x:v>77</x:v>
      </x:c>
      <x:c r="E168" s="9" t="n">
        <x:v>8923.19</x:v>
      </x:c>
      <x:c r="F168" s="9" t="n">
        <x:v>1653.78</x:v>
      </x:c>
      <x:c r="G168" s="8" t="n">
        <x:v>77</x:v>
      </x:c>
      <x:c r="H168" s="8" t="n">
        <x:v>3</x:v>
      </x:c>
      <x:c r="I168" s="8" t="n">
        <x:v>1118.3992824074</x:v>
      </x:c>
      <x:c r="J168" s="8" t="n">
        <x:v>77</x:v>
      </x:c>
      <x:c r="K168" s="8" t="n">
        <x:v>5</x:v>
      </x:c>
      <x:c r="L168" s="2"/>
      <x:c r="M168" s="2"/>
      <x:c r="N168" s="2"/>
    </x:row>
    <x:row r="169" ht="22" customHeight="1">
      <x:c r="A169" s="4" t="d">
        <x:v>2017-07-01T00:00:00.000Z</x:v>
      </x:c>
      <x:c r="B169" s="2" t="str">
        <x:v>MA</x:v>
      </x:c>
      <x:c r="C169" s="8" t="n">
        <x:v>39</x:v>
      </x:c>
      <x:c r="D169" s="8" t="n">
        <x:v>37</x:v>
      </x:c>
      <x:c r="E169" s="9" t="n">
        <x:v>6220.44</x:v>
      </x:c>
      <x:c r="F169" s="9" t="n">
        <x:v>1379.46</x:v>
      </x:c>
      <x:c r="G169" s="8" t="n">
        <x:v>37</x:v>
      </x:c>
      <x:c r="H169" s="8" t="n">
        <x:v>0</x:v>
      </x:c>
      <x:c r="I169" s="8" t="n">
        <x:v>766.2222685185</x:v>
      </x:c>
      <x:c r="J169" s="8" t="n">
        <x:v>37</x:v>
      </x:c>
      <x:c r="K169" s="8" t="n">
        <x:v>4</x:v>
      </x:c>
      <x:c r="L169" s="2"/>
      <x:c r="M169" s="2"/>
      <x:c r="N169" s="2"/>
    </x:row>
    <x:row r="170" ht="22" customHeight="1">
      <x:c r="A170" s="4" t="d">
        <x:v>2017-07-01T00:00:00.000Z</x:v>
      </x:c>
      <x:c r="B170" s="2" t="str">
        <x:v>MG</x:v>
      </x:c>
      <x:c r="C170" s="8" t="n">
        <x:v>453</x:v>
      </x:c>
      <x:c r="D170" s="8" t="n">
        <x:v>435</x:v>
      </x:c>
      <x:c r="E170" s="9" t="n">
        <x:v>53758.88</x:v>
      </x:c>
      <x:c r="F170" s="9" t="n">
        <x:v>9723.58</x:v>
      </x:c>
      <x:c r="G170" s="8" t="n">
        <x:v>435</x:v>
      </x:c>
      <x:c r="H170" s="8" t="n">
        <x:v>4</x:v>
      </x:c>
      <x:c r="I170" s="8" t="n">
        <x:v>4882.2905092593</x:v>
      </x:c>
      <x:c r="J170" s="8" t="n">
        <x:v>429</x:v>
      </x:c>
      <x:c r="K170" s="8" t="n">
        <x:v>47</x:v>
      </x:c>
      <x:c r="L170" s="2"/>
      <x:c r="M170" s="2"/>
      <x:c r="N170" s="2"/>
    </x:row>
    <x:row r="171" ht="22" customHeight="1">
      <x:c r="A171" s="4" t="d">
        <x:v>2017-07-01T00:00:00.000Z</x:v>
      </x:c>
      <x:c r="B171" s="2" t="str">
        <x:v>MS</x:v>
      </x:c>
      <x:c r="C171" s="8" t="n">
        <x:v>25</x:v>
      </x:c>
      <x:c r="D171" s="8" t="n">
        <x:v>24</x:v>
      </x:c>
      <x:c r="E171" s="9" t="n">
        <x:v>3582.95</x:v>
      </x:c>
      <x:c r="F171" s="9" t="n">
        <x:v>537.84</x:v>
      </x:c>
      <x:c r="G171" s="8" t="n">
        <x:v>24</x:v>
      </x:c>
      <x:c r="H171" s="8" t="n">
        <x:v>0</x:v>
      </x:c>
      <x:c r="I171" s="8" t="n">
        <x:v>331.2474652778</x:v>
      </x:c>
      <x:c r="J171" s="8" t="n">
        <x:v>24</x:v>
      </x:c>
      <x:c r="K171" s="8" t="n">
        <x:v>3</x:v>
      </x:c>
      <x:c r="L171" s="2"/>
      <x:c r="M171" s="2"/>
      <x:c r="N171" s="2"/>
    </x:row>
    <x:row r="172" ht="22" customHeight="1">
      <x:c r="A172" s="4" t="d">
        <x:v>2017-07-01T00:00:00.000Z</x:v>
      </x:c>
      <x:c r="B172" s="2" t="str">
        <x:v>MT</x:v>
      </x:c>
      <x:c r="C172" s="8" t="n">
        <x:v>38</x:v>
      </x:c>
      <x:c r="D172" s="8" t="n">
        <x:v>37</x:v>
      </x:c>
      <x:c r="E172" s="9" t="n">
        <x:v>10258.78</x:v>
      </x:c>
      <x:c r="F172" s="9" t="n">
        <x:v>1043.33</x:v>
      </x:c>
      <x:c r="G172" s="8" t="n">
        <x:v>37</x:v>
      </x:c>
      <x:c r="H172" s="8" t="n">
        <x:v>0</x:v>
      </x:c>
      <x:c r="I172" s="8" t="n">
        <x:v>576.9615740741</x:v>
      </x:c>
      <x:c r="J172" s="8" t="n">
        <x:v>36</x:v>
      </x:c>
      <x:c r="K172" s="8" t="n">
        <x:v>2</x:v>
      </x:c>
      <x:c r="L172" s="2"/>
      <x:c r="M172" s="2"/>
      <x:c r="N172" s="2"/>
    </x:row>
    <x:row r="173" ht="22" customHeight="1">
      <x:c r="A173" s="4" t="d">
        <x:v>2017-07-01T00:00:00.000Z</x:v>
      </x:c>
      <x:c r="B173" s="2" t="str">
        <x:v>PA</x:v>
      </x:c>
      <x:c r="C173" s="8" t="n">
        <x:v>39</x:v>
      </x:c>
      <x:c r="D173" s="8" t="n">
        <x:v>36</x:v>
      </x:c>
      <x:c r="E173" s="9" t="n">
        <x:v>4474.02</x:v>
      </x:c>
      <x:c r="F173" s="9" t="n">
        <x:v>1226.96</x:v>
      </x:c>
      <x:c r="G173" s="8" t="n">
        <x:v>36</x:v>
      </x:c>
      <x:c r="H173" s="8" t="n">
        <x:v>3</x:v>
      </x:c>
      <x:c r="I173" s="8" t="n">
        <x:v>684.6948032407</x:v>
      </x:c>
      <x:c r="J173" s="8" t="n">
        <x:v>36</x:v>
      </x:c>
      <x:c r="K173" s="8" t="n">
        <x:v>5</x:v>
      </x:c>
      <x:c r="L173" s="2"/>
      <x:c r="M173" s="2"/>
      <x:c r="N173" s="2"/>
    </x:row>
    <x:row r="174" ht="22" customHeight="1">
      <x:c r="A174" s="4" t="d">
        <x:v>2017-07-01T00:00:00.000Z</x:v>
      </x:c>
      <x:c r="B174" s="2" t="str">
        <x:v>PB</x:v>
      </x:c>
      <x:c r="C174" s="8" t="n">
        <x:v>27</x:v>
      </x:c>
      <x:c r="D174" s="8" t="n">
        <x:v>26</x:v>
      </x:c>
      <x:c r="E174" s="9" t="n">
        <x:v>4241.06</x:v>
      </x:c>
      <x:c r="F174" s="9" t="n">
        <x:v>1285.97</x:v>
      </x:c>
      <x:c r="G174" s="8" t="n">
        <x:v>26</x:v>
      </x:c>
      <x:c r="H174" s="8" t="n">
        <x:v>5</x:v>
      </x:c>
      <x:c r="I174" s="8" t="n">
        <x:v>695.6102430556</x:v>
      </x:c>
      <x:c r="J174" s="8" t="n">
        <x:v>26</x:v>
      </x:c>
      <x:c r="K174" s="8" t="n">
        <x:v>3</x:v>
      </x:c>
      <x:c r="L174" s="2"/>
      <x:c r="M174" s="2"/>
      <x:c r="N174" s="2"/>
    </x:row>
    <x:row r="175" ht="22" customHeight="1">
      <x:c r="A175" s="4" t="d">
        <x:v>2017-07-01T00:00:00.000Z</x:v>
      </x:c>
      <x:c r="B175" s="2" t="str">
        <x:v>PE</x:v>
      </x:c>
      <x:c r="C175" s="8" t="n">
        <x:v>73</x:v>
      </x:c>
      <x:c r="D175" s="8" t="n">
        <x:v>70</x:v>
      </x:c>
      <x:c r="E175" s="9" t="n">
        <x:v>9198.42</x:v>
      </x:c>
      <x:c r="F175" s="9" t="n">
        <x:v>2324.97</x:v>
      </x:c>
      <x:c r="G175" s="8" t="n">
        <x:v>70</x:v>
      </x:c>
      <x:c r="H175" s="8" t="n">
        <x:v>13</x:v>
      </x:c>
      <x:c r="I175" s="8" t="n">
        <x:v>1655.8825810185</x:v>
      </x:c>
      <x:c r="J175" s="8" t="n">
        <x:v>70</x:v>
      </x:c>
      <x:c r="K175" s="8" t="n">
        <x:v>17</x:v>
      </x:c>
      <x:c r="L175" s="2"/>
      <x:c r="M175" s="2"/>
      <x:c r="N175" s="2"/>
    </x:row>
    <x:row r="176" ht="22" customHeight="1">
      <x:c r="A176" s="4" t="d">
        <x:v>2017-07-01T00:00:00.000Z</x:v>
      </x:c>
      <x:c r="B176" s="2" t="str">
        <x:v>PI</x:v>
      </x:c>
      <x:c r="C176" s="8" t="n">
        <x:v>20</x:v>
      </x:c>
      <x:c r="D176" s="8" t="n">
        <x:v>20</x:v>
      </x:c>
      <x:c r="E176" s="9" t="n">
        <x:v>2202.01</x:v>
      </x:c>
      <x:c r="F176" s="9" t="n">
        <x:v>736.76</x:v>
      </x:c>
      <x:c r="G176" s="8" t="n">
        <x:v>20</x:v>
      </x:c>
      <x:c r="H176" s="8" t="n">
        <x:v>1</x:v>
      </x:c>
      <x:c r="I176" s="8" t="n">
        <x:v>298.9450578704</x:v>
      </x:c>
      <x:c r="J176" s="8" t="n">
        <x:v>19</x:v>
      </x:c>
      <x:c r="K176" s="8" t="n">
        <x:v>3</x:v>
      </x:c>
      <x:c r="L176" s="2"/>
      <x:c r="M176" s="2"/>
      <x:c r="N176" s="2"/>
    </x:row>
    <x:row r="177" ht="22" customHeight="1">
      <x:c r="A177" s="4" t="d">
        <x:v>2017-07-01T00:00:00.000Z</x:v>
      </x:c>
      <x:c r="B177" s="2" t="str">
        <x:v>PR</x:v>
      </x:c>
      <x:c r="C177" s="8" t="n">
        <x:v>203</x:v>
      </x:c>
      <x:c r="D177" s="8" t="n">
        <x:v>195</x:v>
      </x:c>
      <x:c r="E177" s="9" t="n">
        <x:v>24331.1</x:v>
      </x:c>
      <x:c r="F177" s="9" t="n">
        <x:v>4522.57</x:v>
      </x:c>
      <x:c r="G177" s="8" t="n">
        <x:v>195</x:v>
      </x:c>
      <x:c r="H177" s="8" t="n">
        <x:v>1</x:v>
      </x:c>
      <x:c r="I177" s="8" t="n">
        <x:v>2106.5505092593</x:v>
      </x:c>
      <x:c r="J177" s="8" t="n">
        <x:v>194</x:v>
      </x:c>
      <x:c r="K177" s="8" t="n">
        <x:v>13</x:v>
      </x:c>
      <x:c r="L177" s="2"/>
      <x:c r="M177" s="2"/>
      <x:c r="N177" s="2"/>
    </x:row>
    <x:row r="178" ht="22" customHeight="1">
      <x:c r="A178" s="4" t="d">
        <x:v>2017-07-01T00:00:00.000Z</x:v>
      </x:c>
      <x:c r="B178" s="2" t="str">
        <x:v>RJ</x:v>
      </x:c>
      <x:c r="C178" s="8" t="n">
        <x:v>571</x:v>
      </x:c>
      <x:c r="D178" s="8" t="n">
        <x:v>547</x:v>
      </x:c>
      <x:c r="E178" s="9" t="n">
        <x:v>74961.75</x:v>
      </x:c>
      <x:c r="F178" s="9" t="n">
        <x:v>12573.96</x:v>
      </x:c>
      <x:c r="G178" s="8" t="n">
        <x:v>547</x:v>
      </x:c>
      <x:c r="H178" s="8" t="n">
        <x:v>17</x:v>
      </x:c>
      <x:c r="I178" s="8" t="n">
        <x:v>6779.9886574074</x:v>
      </x:c>
      <x:c r="J178" s="8" t="n">
        <x:v>538</x:v>
      </x:c>
      <x:c r="K178" s="8" t="n">
        <x:v>61</x:v>
      </x:c>
      <x:c r="L178" s="2"/>
      <x:c r="M178" s="2"/>
      <x:c r="N178" s="2"/>
    </x:row>
    <x:row r="179" ht="22" customHeight="1">
      <x:c r="A179" s="4" t="d">
        <x:v>2017-07-01T00:00:00.000Z</x:v>
      </x:c>
      <x:c r="B179" s="2" t="str">
        <x:v>RN</x:v>
      </x:c>
      <x:c r="C179" s="8" t="n">
        <x:v>27</x:v>
      </x:c>
      <x:c r="D179" s="8" t="n">
        <x:v>27</x:v>
      </x:c>
      <x:c r="E179" s="9" t="n">
        <x:v>3193.99</x:v>
      </x:c>
      <x:c r="F179" s="9" t="n">
        <x:v>984.26</x:v>
      </x:c>
      <x:c r="G179" s="8" t="n">
        <x:v>27</x:v>
      </x:c>
      <x:c r="H179" s="8" t="n">
        <x:v>3</x:v>
      </x:c>
      <x:c r="I179" s="8" t="n">
        <x:v>647.7031134259</x:v>
      </x:c>
      <x:c r="J179" s="8" t="n">
        <x:v>27</x:v>
      </x:c>
      <x:c r="K179" s="8" t="n">
        <x:v>4</x:v>
      </x:c>
      <x:c r="L179" s="2"/>
      <x:c r="M179" s="2"/>
      <x:c r="N179" s="2"/>
    </x:row>
    <x:row r="180" ht="22" customHeight="1">
      <x:c r="A180" s="4" t="d">
        <x:v>2017-07-01T00:00:00.000Z</x:v>
      </x:c>
      <x:c r="B180" s="2" t="str">
        <x:v>RO</x:v>
      </x:c>
      <x:c r="C180" s="8" t="n">
        <x:v>11</x:v>
      </x:c>
      <x:c r="D180" s="8" t="n">
        <x:v>10</x:v>
      </x:c>
      <x:c r="E180" s="9" t="n">
        <x:v>1083.72</x:v>
      </x:c>
      <x:c r="F180" s="9" t="n">
        <x:v>344.92</x:v>
      </x:c>
      <x:c r="G180" s="8" t="n">
        <x:v>10</x:v>
      </x:c>
      <x:c r="H180" s="8" t="n">
        <x:v>0</x:v>
      </x:c>
      <x:c r="I180" s="8" t="n">
        <x:v>184.9403703704</x:v>
      </x:c>
      <x:c r="J180" s="8" t="n">
        <x:v>10</x:v>
      </x:c>
      <x:c r="K180" s="8" t="n">
        <x:v>1</x:v>
      </x:c>
      <x:c r="L180" s="2"/>
      <x:c r="M180" s="2"/>
      <x:c r="N180" s="2"/>
    </x:row>
    <x:row r="181" ht="22" customHeight="1">
      <x:c r="A181" s="4" t="d">
        <x:v>2017-07-01T00:00:00.000Z</x:v>
      </x:c>
      <x:c r="B181" s="2" t="str">
        <x:v>RR</x:v>
      </x:c>
      <x:c r="C181" s="8" t="n">
        <x:v>1</x:v>
      </x:c>
      <x:c r="D181" s="8" t="n">
        <x:v>1</x:v>
      </x:c>
      <x:c r="E181" s="9" t="n">
        <x:v>179.9</x:v>
      </x:c>
      <x:c r="F181" s="9" t="n">
        <x:v>45.11</x:v>
      </x:c>
      <x:c r="G181" s="8" t="n">
        <x:v>1</x:v>
      </x:c>
      <x:c r="H181" s="8" t="n">
        <x:v>0</x:v>
      </x:c>
      <x:c r="I181" s="8" t="n">
        <x:v>8.5183449074</x:v>
      </x:c>
      <x:c r="J181" s="8" t="n">
        <x:v>1</x:v>
      </x:c>
      <x:c r="K181" s="8" t="n">
        <x:v>0</x:v>
      </x:c>
      <x:c r="L181" s="2"/>
      <x:c r="M181" s="2"/>
      <x:c r="N181" s="2"/>
    </x:row>
    <x:row r="182" ht="22" customHeight="1">
      <x:c r="A182" s="4" t="d">
        <x:v>2017-07-01T00:00:00.000Z</x:v>
      </x:c>
      <x:c r="B182" s="2" t="str">
        <x:v>RS</x:v>
      </x:c>
      <x:c r="C182" s="8" t="n">
        <x:v>249</x:v>
      </x:c>
      <x:c r="D182" s="8" t="n">
        <x:v>242</x:v>
      </x:c>
      <x:c r="E182" s="9" t="n">
        <x:v>28823.99</x:v>
      </x:c>
      <x:c r="F182" s="9" t="n">
        <x:v>5766.92</x:v>
      </x:c>
      <x:c r="G182" s="8" t="n">
        <x:v>242</x:v>
      </x:c>
      <x:c r="H182" s="8" t="n">
        <x:v>6</x:v>
      </x:c>
      <x:c r="I182" s="8" t="n">
        <x:v>3240.5746759259</x:v>
      </x:c>
      <x:c r="J182" s="8" t="n">
        <x:v>241</x:v>
      </x:c>
      <x:c r="K182" s="8" t="n">
        <x:v>19</x:v>
      </x:c>
      <x:c r="L182" s="2"/>
      <x:c r="M182" s="2"/>
      <x:c r="N182" s="2"/>
    </x:row>
    <x:row r="183" ht="22" customHeight="1">
      <x:c r="A183" s="4" t="d">
        <x:v>2017-07-01T00:00:00.000Z</x:v>
      </x:c>
      <x:c r="B183" s="2" t="str">
        <x:v>SC</x:v>
      </x:c>
      <x:c r="C183" s="8" t="n">
        <x:v>158</x:v>
      </x:c>
      <x:c r="D183" s="8" t="n">
        <x:v>152</x:v>
      </x:c>
      <x:c r="E183" s="9" t="n">
        <x:v>18517.48</x:v>
      </x:c>
      <x:c r="F183" s="9" t="n">
        <x:v>3293.04</x:v>
      </x:c>
      <x:c r="G183" s="8" t="n">
        <x:v>152</x:v>
      </x:c>
      <x:c r="H183" s="8" t="n">
        <x:v>7</x:v>
      </x:c>
      <x:c r="I183" s="8" t="n">
        <x:v>1990.5674537037</x:v>
      </x:c>
      <x:c r="J183" s="8" t="n">
        <x:v>152</x:v>
      </x:c>
      <x:c r="K183" s="8" t="n">
        <x:v>10</x:v>
      </x:c>
      <x:c r="L183" s="2"/>
      <x:c r="M183" s="2"/>
      <x:c r="N183" s="2"/>
    </x:row>
    <x:row r="184" ht="22" customHeight="1">
      <x:c r="A184" s="4" t="d">
        <x:v>2017-07-01T00:00:00.000Z</x:v>
      </x:c>
      <x:c r="B184" s="2" t="str">
        <x:v>SE</x:v>
      </x:c>
      <x:c r="C184" s="8" t="n">
        <x:v>14</x:v>
      </x:c>
      <x:c r="D184" s="8" t="n">
        <x:v>13</x:v>
      </x:c>
      <x:c r="E184" s="9" t="n">
        <x:v>1372.09</x:v>
      </x:c>
      <x:c r="F184" s="9" t="n">
        <x:v>401.1</x:v>
      </x:c>
      <x:c r="G184" s="8" t="n">
        <x:v>13</x:v>
      </x:c>
      <x:c r="H184" s="8" t="n">
        <x:v>0</x:v>
      </x:c>
      <x:c r="I184" s="8" t="n">
        <x:v>248.0974189815</x:v>
      </x:c>
      <x:c r="J184" s="8" t="n">
        <x:v>13</x:v>
      </x:c>
      <x:c r="K184" s="8" t="n">
        <x:v>2</x:v>
      </x:c>
      <x:c r="L184" s="2"/>
      <x:c r="M184" s="2"/>
      <x:c r="N184" s="2"/>
    </x:row>
    <x:row r="185" ht="22" customHeight="1">
      <x:c r="A185" s="4" t="d">
        <x:v>2017-07-01T00:00:00.000Z</x:v>
      </x:c>
      <x:c r="B185" s="2" t="str">
        <x:v>SP</x:v>
      </x:c>
      <x:c r="C185" s="8" t="n">
        <x:v>1604</x:v>
      </x:c>
      <x:c r="D185" s="8" t="n">
        <x:v>1543</x:v>
      </x:c>
      <x:c r="E185" s="9" t="n">
        <x:v>178145.64</x:v>
      </x:c>
      <x:c r="F185" s="9" t="n">
        <x:v>26310.86</x:v>
      </x:c>
      <x:c r="G185" s="8" t="n">
        <x:v>1543</x:v>
      </x:c>
      <x:c r="H185" s="8" t="n">
        <x:v>28</x:v>
      </x:c>
      <x:c r="I185" s="8" t="n">
        <x:v>12333.2938194444</x:v>
      </x:c>
      <x:c r="J185" s="8" t="n">
        <x:v>1536</x:v>
      </x:c>
      <x:c r="K185" s="8" t="n">
        <x:v>139</x:v>
      </x:c>
      <x:c r="L185" s="2"/>
      <x:c r="M185" s="2"/>
      <x:c r="N185" s="2"/>
    </x:row>
    <x:row r="186" ht="22" customHeight="1">
      <x:c r="A186" s="4" t="d">
        <x:v>2017-07-01T00:00:00.000Z</x:v>
      </x:c>
      <x:c r="B186" s="2" t="str">
        <x:v>TO</x:v>
      </x:c>
      <x:c r="C186" s="8" t="n">
        <x:v>1</x:v>
      </x:c>
      <x:c r="D186" s="8" t="n">
        <x:v>1</x:v>
      </x:c>
      <x:c r="E186" s="9" t="n">
        <x:v>97.5</x:v>
      </x:c>
      <x:c r="F186" s="9" t="n">
        <x:v>29.08</x:v>
      </x:c>
      <x:c r="G186" s="8" t="n">
        <x:v>1</x:v>
      </x:c>
      <x:c r="H186" s="8" t="n">
        <x:v>0</x:v>
      </x:c>
      <x:c r="I186" s="8" t="n">
        <x:v>18.0948148148</x:v>
      </x:c>
      <x:c r="J186" s="8" t="n">
        <x:v>1</x:v>
      </x:c>
      <x:c r="K186" s="8" t="n">
        <x:v>0</x:v>
      </x:c>
      <x:c r="L186" s="2"/>
      <x:c r="M186" s="2"/>
      <x:c r="N186" s="2"/>
    </x:row>
    <x:row r="187" ht="22" customHeight="1">
      <x:c r="A187" s="4" t="d">
        <x:v>2017-08-01T00:00:00.000Z</x:v>
      </x:c>
      <x:c r="B187" s="2" t="str">
        <x:v>AC</x:v>
      </x:c>
      <x:c r="C187" s="8" t="n">
        <x:v>4</x:v>
      </x:c>
      <x:c r="D187" s="8" t="n">
        <x:v>4</x:v>
      </x:c>
      <x:c r="E187" s="9" t="n">
        <x:v>637.93</x:v>
      </x:c>
      <x:c r="F187" s="9" t="n">
        <x:v>127.9</x:v>
      </x:c>
      <x:c r="G187" s="8" t="n">
        <x:v>4</x:v>
      </x:c>
      <x:c r="H187" s="8" t="n">
        <x:v>0</x:v>
      </x:c>
      <x:c r="I187" s="8" t="n">
        <x:v>72.2802893519</x:v>
      </x:c>
      <x:c r="J187" s="8" t="n">
        <x:v>4</x:v>
      </x:c>
      <x:c r="K187" s="8" t="n">
        <x:v>1</x:v>
      </x:c>
      <x:c r="L187" s="2"/>
      <x:c r="M187" s="2"/>
      <x:c r="N187" s="2"/>
    </x:row>
    <x:row r="188" ht="22" customHeight="1">
      <x:c r="A188" s="4" t="d">
        <x:v>2017-08-01T00:00:00.000Z</x:v>
      </x:c>
      <x:c r="B188" s="2" t="str">
        <x:v>AL</x:v>
      </x:c>
      <x:c r="C188" s="8" t="n">
        <x:v>18</x:v>
      </x:c>
      <x:c r="D188" s="8" t="n">
        <x:v>17</x:v>
      </x:c>
      <x:c r="E188" s="9" t="n">
        <x:v>8889.27</x:v>
      </x:c>
      <x:c r="F188" s="9" t="n">
        <x:v>669.05</x:v>
      </x:c>
      <x:c r="G188" s="8" t="n">
        <x:v>17</x:v>
      </x:c>
      <x:c r="H188" s="8" t="n">
        <x:v>3</x:v>
      </x:c>
      <x:c r="I188" s="8" t="n">
        <x:v>425.9197222222</x:v>
      </x:c>
      <x:c r="J188" s="8" t="n">
        <x:v>17</x:v>
      </x:c>
      <x:c r="K188" s="8" t="n">
        <x:v>4</x:v>
      </x:c>
      <x:c r="L188" s="2"/>
      <x:c r="M188" s="2"/>
      <x:c r="N188" s="2"/>
    </x:row>
    <x:row r="189" ht="22" customHeight="1">
      <x:c r="A189" s="4" t="d">
        <x:v>2017-08-01T00:00:00.000Z</x:v>
      </x:c>
      <x:c r="B189" s="2" t="str">
        <x:v>AM</x:v>
      </x:c>
      <x:c r="C189" s="8" t="n">
        <x:v>5</x:v>
      </x:c>
      <x:c r="D189" s="8" t="n">
        <x:v>5</x:v>
      </x:c>
      <x:c r="E189" s="9" t="n">
        <x:v>1276.6</x:v>
      </x:c>
      <x:c r="F189" s="9" t="n">
        <x:v>206.81</x:v>
      </x:c>
      <x:c r="G189" s="8" t="n">
        <x:v>5</x:v>
      </x:c>
      <x:c r="H189" s="8" t="n">
        <x:v>0</x:v>
      </x:c>
      <x:c r="I189" s="8" t="n">
        <x:v>118.3268287037</x:v>
      </x:c>
      <x:c r="J189" s="8" t="n">
        <x:v>5</x:v>
      </x:c>
      <x:c r="K189" s="8" t="n">
        <x:v>0</x:v>
      </x:c>
      <x:c r="L189" s="2"/>
      <x:c r="M189" s="2"/>
      <x:c r="N189" s="2"/>
    </x:row>
    <x:row r="190" ht="22" customHeight="1">
      <x:c r="A190" s="4" t="d">
        <x:v>2017-08-01T00:00:00.000Z</x:v>
      </x:c>
      <x:c r="B190" s="2" t="str">
        <x:v>AP</x:v>
      </x:c>
      <x:c r="C190" s="8" t="n">
        <x:v>3</x:v>
      </x:c>
      <x:c r="D190" s="8" t="n">
        <x:v>3</x:v>
      </x:c>
      <x:c r="E190" s="9" t="n">
        <x:v>289.79</x:v>
      </x:c>
      <x:c r="F190" s="9" t="n">
        <x:v>94.99</x:v>
      </x:c>
      <x:c r="G190" s="8" t="n">
        <x:v>3</x:v>
      </x:c>
      <x:c r="H190" s="8" t="n">
        <x:v>0</x:v>
      </x:c>
      <x:c r="I190" s="8" t="n">
        <x:v>67.0450115741</x:v>
      </x:c>
      <x:c r="J190" s="8" t="n">
        <x:v>3</x:v>
      </x:c>
      <x:c r="K190" s="8" t="n">
        <x:v>0</x:v>
      </x:c>
      <x:c r="L190" s="2"/>
      <x:c r="M190" s="2"/>
      <x:c r="N190" s="2"/>
    </x:row>
    <x:row r="191" ht="22" customHeight="1">
      <x:c r="A191" s="4" t="d">
        <x:v>2017-08-01T00:00:00.000Z</x:v>
      </x:c>
      <x:c r="B191" s="2" t="str">
        <x:v>BA</x:v>
      </x:c>
      <x:c r="C191" s="8" t="n">
        <x:v>158</x:v>
      </x:c>
      <x:c r="D191" s="8" t="n">
        <x:v>152</x:v>
      </x:c>
      <x:c r="E191" s="9" t="n">
        <x:v>25134.47</x:v>
      </x:c>
      <x:c r="F191" s="9" t="n">
        <x:v>4223.94</x:v>
      </x:c>
      <x:c r="G191" s="8" t="n">
        <x:v>152</x:v>
      </x:c>
      <x:c r="H191" s="8" t="n">
        <x:v>5</x:v>
      </x:c>
      <x:c r="I191" s="8" t="n">
        <x:v>2332.2611805556</x:v>
      </x:c>
      <x:c r="J191" s="8" t="n">
        <x:v>150</x:v>
      </x:c>
      <x:c r="K191" s="8" t="n">
        <x:v>15</x:v>
      </x:c>
      <x:c r="L191" s="2"/>
      <x:c r="M191" s="2"/>
      <x:c r="N191" s="2"/>
    </x:row>
    <x:row r="192" ht="22" customHeight="1">
      <x:c r="A192" s="4" t="d">
        <x:v>2017-08-01T00:00:00.000Z</x:v>
      </x:c>
      <x:c r="B192" s="2" t="str">
        <x:v>CE</x:v>
      </x:c>
      <x:c r="C192" s="8" t="n">
        <x:v>73</x:v>
      </x:c>
      <x:c r="D192" s="8" t="n">
        <x:v>73</x:v>
      </x:c>
      <x:c r="E192" s="9" t="n">
        <x:v>10642.66</x:v>
      </x:c>
      <x:c r="F192" s="9" t="n">
        <x:v>2315.01</x:v>
      </x:c>
      <x:c r="G192" s="8" t="n">
        <x:v>73</x:v>
      </x:c>
      <x:c r="H192" s="8" t="n">
        <x:v>1</x:v>
      </x:c>
      <x:c r="I192" s="8" t="n">
        <x:v>1175.5620023148</x:v>
      </x:c>
      <x:c r="J192" s="8" t="n">
        <x:v>73</x:v>
      </x:c>
      <x:c r="K192" s="8" t="n">
        <x:v>2</x:v>
      </x:c>
      <x:c r="L192" s="2"/>
      <x:c r="M192" s="2"/>
      <x:c r="N192" s="2"/>
    </x:row>
    <x:row r="193" ht="22" customHeight="1">
      <x:c r="A193" s="4" t="d">
        <x:v>2017-08-01T00:00:00.000Z</x:v>
      </x:c>
      <x:c r="B193" s="2" t="str">
        <x:v>DF</x:v>
      </x:c>
      <x:c r="C193" s="8" t="n">
        <x:v>87</x:v>
      </x:c>
      <x:c r="D193" s="8" t="n">
        <x:v>83</x:v>
      </x:c>
      <x:c r="E193" s="9" t="n">
        <x:v>9626.91</x:v>
      </x:c>
      <x:c r="F193" s="9" t="n">
        <x:v>1770.02</x:v>
      </x:c>
      <x:c r="G193" s="8" t="n">
        <x:v>83</x:v>
      </x:c>
      <x:c r="H193" s="8" t="n">
        <x:v>1</x:v>
      </x:c>
      <x:c r="I193" s="8" t="n">
        <x:v>980.2886458333</x:v>
      </x:c>
      <x:c r="J193" s="8" t="n">
        <x:v>83</x:v>
      </x:c>
      <x:c r="K193" s="8" t="n">
        <x:v>8</x:v>
      </x:c>
      <x:c r="L193" s="2"/>
      <x:c r="M193" s="2"/>
      <x:c r="N193" s="2"/>
    </x:row>
    <x:row r="194" ht="22" customHeight="1">
      <x:c r="A194" s="4" t="d">
        <x:v>2017-08-01T00:00:00.000Z</x:v>
      </x:c>
      <x:c r="B194" s="2" t="str">
        <x:v>ES</x:v>
      </x:c>
      <x:c r="C194" s="8" t="n">
        <x:v>95</x:v>
      </x:c>
      <x:c r="D194" s="8" t="n">
        <x:v>94</x:v>
      </x:c>
      <x:c r="E194" s="9" t="n">
        <x:v>13141.85</x:v>
      </x:c>
      <x:c r="F194" s="9" t="n">
        <x:v>2202.7</x:v>
      </x:c>
      <x:c r="G194" s="8" t="n">
        <x:v>94</x:v>
      </x:c>
      <x:c r="H194" s="8" t="n">
        <x:v>4</x:v>
      </x:c>
      <x:c r="I194" s="8" t="n">
        <x:v>1275.9650115741</x:v>
      </x:c>
      <x:c r="J194" s="8" t="n">
        <x:v>94</x:v>
      </x:c>
      <x:c r="K194" s="8" t="n">
        <x:v>10</x:v>
      </x:c>
      <x:c r="L194" s="2"/>
      <x:c r="M194" s="2"/>
      <x:c r="N194" s="2"/>
    </x:row>
    <x:row r="195" ht="22" customHeight="1">
      <x:c r="A195" s="4" t="d">
        <x:v>2017-08-01T00:00:00.000Z</x:v>
      </x:c>
      <x:c r="B195" s="2" t="str">
        <x:v>GO</x:v>
      </x:c>
      <x:c r="C195" s="8" t="n">
        <x:v>93</x:v>
      </x:c>
      <x:c r="D195" s="8" t="n">
        <x:v>89</x:v>
      </x:c>
      <x:c r="E195" s="9" t="n">
        <x:v>13138.93</x:v>
      </x:c>
      <x:c r="F195" s="9" t="n">
        <x:v>2458.44</x:v>
      </x:c>
      <x:c r="G195" s="8" t="n">
        <x:v>89</x:v>
      </x:c>
      <x:c r="H195" s="8" t="n">
        <x:v>2</x:v>
      </x:c>
      <x:c r="I195" s="8" t="n">
        <x:v>1202.1103356481</x:v>
      </x:c>
      <x:c r="J195" s="8" t="n">
        <x:v>88</x:v>
      </x:c>
      <x:c r="K195" s="8" t="n">
        <x:v>12</x:v>
      </x:c>
      <x:c r="L195" s="2"/>
      <x:c r="M195" s="2"/>
      <x:c r="N195" s="2"/>
    </x:row>
    <x:row r="196" ht="22" customHeight="1">
      <x:c r="A196" s="4" t="d">
        <x:v>2017-08-01T00:00:00.000Z</x:v>
      </x:c>
      <x:c r="B196" s="2" t="str">
        <x:v>MA</x:v>
      </x:c>
      <x:c r="C196" s="8" t="n">
        <x:v>40</x:v>
      </x:c>
      <x:c r="D196" s="8" t="n">
        <x:v>38</x:v>
      </x:c>
      <x:c r="E196" s="9" t="n">
        <x:v>5999.23</x:v>
      </x:c>
      <x:c r="F196" s="9" t="n">
        <x:v>1626.71</x:v>
      </x:c>
      <x:c r="G196" s="8" t="n">
        <x:v>38</x:v>
      </x:c>
      <x:c r="H196" s="8" t="n">
        <x:v>2</x:v>
      </x:c>
      <x:c r="I196" s="8" t="n">
        <x:v>728.5696412037</x:v>
      </x:c>
      <x:c r="J196" s="8" t="n">
        <x:v>38</x:v>
      </x:c>
      <x:c r="K196" s="8" t="n">
        <x:v>9</x:v>
      </x:c>
      <x:c r="L196" s="2"/>
      <x:c r="M196" s="2"/>
      <x:c r="N196" s="2"/>
    </x:row>
    <x:row r="197" ht="22" customHeight="1">
      <x:c r="A197" s="4" t="d">
        <x:v>2017-08-01T00:00:00.000Z</x:v>
      </x:c>
      <x:c r="B197" s="2" t="str">
        <x:v>MG</x:v>
      </x:c>
      <x:c r="C197" s="8" t="n">
        <x:v>469</x:v>
      </x:c>
      <x:c r="D197" s="8" t="n">
        <x:v>459</x:v>
      </x:c>
      <x:c r="E197" s="9" t="n">
        <x:v>58708.91</x:v>
      </x:c>
      <x:c r="F197" s="9" t="n">
        <x:v>10285.62</x:v>
      </x:c>
      <x:c r="G197" s="8" t="n">
        <x:v>459</x:v>
      </x:c>
      <x:c r="H197" s="8" t="n">
        <x:v>11</x:v>
      </x:c>
      <x:c r="I197" s="8" t="n">
        <x:v>5051.9219444444</x:v>
      </x:c>
      <x:c r="J197" s="8" t="n">
        <x:v>455</x:v>
      </x:c>
      <x:c r="K197" s="8" t="n">
        <x:v>40</x:v>
      </x:c>
      <x:c r="L197" s="2"/>
      <x:c r="M197" s="2"/>
      <x:c r="N197" s="2"/>
    </x:row>
    <x:row r="198" ht="22" customHeight="1">
      <x:c r="A198" s="4" t="d">
        <x:v>2017-08-01T00:00:00.000Z</x:v>
      </x:c>
      <x:c r="B198" s="2" t="str">
        <x:v>MS</x:v>
      </x:c>
      <x:c r="C198" s="8" t="n">
        <x:v>24</x:v>
      </x:c>
      <x:c r="D198" s="8" t="n">
        <x:v>24</x:v>
      </x:c>
      <x:c r="E198" s="9" t="n">
        <x:v>3841.62</x:v>
      </x:c>
      <x:c r="F198" s="9" t="n">
        <x:v>627.02</x:v>
      </x:c>
      <x:c r="G198" s="8" t="n">
        <x:v>24</x:v>
      </x:c>
      <x:c r="H198" s="8" t="n">
        <x:v>0</x:v>
      </x:c>
      <x:c r="I198" s="8" t="n">
        <x:v>321.6888657407</x:v>
      </x:c>
      <x:c r="J198" s="8" t="n">
        <x:v>23</x:v>
      </x:c>
      <x:c r="K198" s="8" t="n">
        <x:v>3</x:v>
      </x:c>
      <x:c r="L198" s="2"/>
      <x:c r="M198" s="2"/>
      <x:c r="N198" s="2"/>
    </x:row>
    <x:row r="199" ht="22" customHeight="1">
      <x:c r="A199" s="4" t="d">
        <x:v>2017-08-01T00:00:00.000Z</x:v>
      </x:c>
      <x:c r="B199" s="2" t="str">
        <x:v>MT</x:v>
      </x:c>
      <x:c r="C199" s="8" t="n">
        <x:v>38</x:v>
      </x:c>
      <x:c r="D199" s="8" t="n">
        <x:v>38</x:v>
      </x:c>
      <x:c r="E199" s="9" t="n">
        <x:v>6709.45</x:v>
      </x:c>
      <x:c r="F199" s="9" t="n">
        <x:v>1122.44</x:v>
      </x:c>
      <x:c r="G199" s="8" t="n">
        <x:v>38</x:v>
      </x:c>
      <x:c r="H199" s="8" t="n">
        <x:v>0</x:v>
      </x:c>
      <x:c r="I199" s="8" t="n">
        <x:v>591.4828819444</x:v>
      </x:c>
      <x:c r="J199" s="8" t="n">
        <x:v>36</x:v>
      </x:c>
      <x:c r="K199" s="8" t="n">
        <x:v>5</x:v>
      </x:c>
      <x:c r="L199" s="2"/>
      <x:c r="M199" s="2"/>
      <x:c r="N199" s="2"/>
    </x:row>
    <x:row r="200" ht="22" customHeight="1">
      <x:c r="A200" s="4" t="d">
        <x:v>2017-08-01T00:00:00.000Z</x:v>
      </x:c>
      <x:c r="B200" s="2" t="str">
        <x:v>PA</x:v>
      </x:c>
      <x:c r="C200" s="8" t="n">
        <x:v>60</x:v>
      </x:c>
      <x:c r="D200" s="8" t="n">
        <x:v>57</x:v>
      </x:c>
      <x:c r="E200" s="9" t="n">
        <x:v>14754.4</x:v>
      </x:c>
      <x:c r="F200" s="9" t="n">
        <x:v>2364.7</x:v>
      </x:c>
      <x:c r="G200" s="8" t="n">
        <x:v>57</x:v>
      </x:c>
      <x:c r="H200" s="8" t="n">
        <x:v>0</x:v>
      </x:c>
      <x:c r="I200" s="8" t="n">
        <x:v>988.0572685185</x:v>
      </x:c>
      <x:c r="J200" s="8" t="n">
        <x:v>57</x:v>
      </x:c>
      <x:c r="K200" s="8" t="n">
        <x:v>9</x:v>
      </x:c>
      <x:c r="L200" s="2"/>
      <x:c r="M200" s="2"/>
      <x:c r="N200" s="2"/>
    </x:row>
    <x:row r="201" ht="22" customHeight="1">
      <x:c r="A201" s="4" t="d">
        <x:v>2017-08-01T00:00:00.000Z</x:v>
      </x:c>
      <x:c r="B201" s="2" t="str">
        <x:v>PB</x:v>
      </x:c>
      <x:c r="C201" s="8" t="n">
        <x:v>16</x:v>
      </x:c>
      <x:c r="D201" s="8" t="n">
        <x:v>16</x:v>
      </x:c>
      <x:c r="E201" s="9" t="n">
        <x:v>2324.77</x:v>
      </x:c>
      <x:c r="F201" s="9" t="n">
        <x:v>728.34</x:v>
      </x:c>
      <x:c r="G201" s="8" t="n">
        <x:v>16</x:v>
      </x:c>
      <x:c r="H201" s="8" t="n">
        <x:v>1</x:v>
      </x:c>
      <x:c r="I201" s="8" t="n">
        <x:v>303.2057060185</x:v>
      </x:c>
      <x:c r="J201" s="8" t="n">
        <x:v>16</x:v>
      </x:c>
      <x:c r="K201" s="8" t="n">
        <x:v>1</x:v>
      </x:c>
      <x:c r="L201" s="2"/>
      <x:c r="M201" s="2"/>
      <x:c r="N201" s="2"/>
    </x:row>
    <x:row r="202" ht="22" customHeight="1">
      <x:c r="A202" s="4" t="d">
        <x:v>2017-08-01T00:00:00.000Z</x:v>
      </x:c>
      <x:c r="B202" s="2" t="str">
        <x:v>PE</x:v>
      </x:c>
      <x:c r="C202" s="8" t="n">
        <x:v>85</x:v>
      </x:c>
      <x:c r="D202" s="8" t="n">
        <x:v>83</x:v>
      </x:c>
      <x:c r="E202" s="9" t="n">
        <x:v>12844.55</x:v>
      </x:c>
      <x:c r="F202" s="9" t="n">
        <x:v>2605.35</x:v>
      </x:c>
      <x:c r="G202" s="8" t="n">
        <x:v>83</x:v>
      </x:c>
      <x:c r="H202" s="8" t="n">
        <x:v>12</x:v>
      </x:c>
      <x:c r="I202" s="8" t="n">
        <x:v>1801.2199074074</x:v>
      </x:c>
      <x:c r="J202" s="8" t="n">
        <x:v>83</x:v>
      </x:c>
      <x:c r="K202" s="8" t="n">
        <x:v>17</x:v>
      </x:c>
      <x:c r="L202" s="2"/>
      <x:c r="M202" s="2"/>
      <x:c r="N202" s="2"/>
    </x:row>
    <x:row r="203" ht="22" customHeight="1">
      <x:c r="A203" s="4" t="d">
        <x:v>2017-08-01T00:00:00.000Z</x:v>
      </x:c>
      <x:c r="B203" s="2" t="str">
        <x:v>PI</x:v>
      </x:c>
      <x:c r="C203" s="8" t="n">
        <x:v>22</x:v>
      </x:c>
      <x:c r="D203" s="8" t="n">
        <x:v>20</x:v>
      </x:c>
      <x:c r="E203" s="9" t="n">
        <x:v>4367.5</x:v>
      </x:c>
      <x:c r="F203" s="9" t="n">
        <x:v>923.21</x:v>
      </x:c>
      <x:c r="G203" s="8" t="n">
        <x:v>20</x:v>
      </x:c>
      <x:c r="H203" s="8" t="n">
        <x:v>0</x:v>
      </x:c>
      <x:c r="I203" s="8" t="n">
        <x:v>342.021099537</x:v>
      </x:c>
      <x:c r="J203" s="8" t="n">
        <x:v>20</x:v>
      </x:c>
      <x:c r="K203" s="8" t="n">
        <x:v>1</x:v>
      </x:c>
      <x:c r="L203" s="2"/>
      <x:c r="M203" s="2"/>
      <x:c r="N203" s="2"/>
    </x:row>
    <x:row r="204" ht="22" customHeight="1">
      <x:c r="A204" s="4" t="d">
        <x:v>2017-08-01T00:00:00.000Z</x:v>
      </x:c>
      <x:c r="B204" s="2" t="str">
        <x:v>PR</x:v>
      </x:c>
      <x:c r="C204" s="8" t="n">
        <x:v>223</x:v>
      </x:c>
      <x:c r="D204" s="8" t="n">
        <x:v>220</x:v>
      </x:c>
      <x:c r="E204" s="9" t="n">
        <x:v>28439.97</x:v>
      </x:c>
      <x:c r="F204" s="9" t="n">
        <x:v>4871.73</x:v>
      </x:c>
      <x:c r="G204" s="8" t="n">
        <x:v>220</x:v>
      </x:c>
      <x:c r="H204" s="8" t="n">
        <x:v>0</x:v>
      </x:c>
      <x:c r="I204" s="8" t="n">
        <x:v>2170.7462152778</x:v>
      </x:c>
      <x:c r="J204" s="8" t="n">
        <x:v>219</x:v>
      </x:c>
      <x:c r="K204" s="8" t="n">
        <x:v>18</x:v>
      </x:c>
      <x:c r="L204" s="2"/>
      <x:c r="M204" s="2"/>
      <x:c r="N204" s="2"/>
    </x:row>
    <x:row r="205" ht="22" customHeight="1">
      <x:c r="A205" s="4" t="d">
        <x:v>2017-08-01T00:00:00.000Z</x:v>
      </x:c>
      <x:c r="B205" s="2" t="str">
        <x:v>RJ</x:v>
      </x:c>
      <x:c r="C205" s="8" t="n">
        <x:v>562</x:v>
      </x:c>
      <x:c r="D205" s="8" t="n">
        <x:v>537</x:v>
      </x:c>
      <x:c r="E205" s="9" t="n">
        <x:v>76334.29</x:v>
      </x:c>
      <x:c r="F205" s="9" t="n">
        <x:v>11944.99</x:v>
      </x:c>
      <x:c r="G205" s="8" t="n">
        <x:v>537</x:v>
      </x:c>
      <x:c r="H205" s="8" t="n">
        <x:v>16</x:v>
      </x:c>
      <x:c r="I205" s="8" t="n">
        <x:v>6678.3691203704</x:v>
      </x:c>
      <x:c r="J205" s="8" t="n">
        <x:v>532</x:v>
      </x:c>
      <x:c r="K205" s="8" t="n">
        <x:v>52</x:v>
      </x:c>
      <x:c r="L205" s="2"/>
      <x:c r="M205" s="2"/>
      <x:c r="N205" s="2"/>
    </x:row>
    <x:row r="206" ht="22" customHeight="1">
      <x:c r="A206" s="4" t="d">
        <x:v>2017-08-01T00:00:00.000Z</x:v>
      </x:c>
      <x:c r="B206" s="2" t="str">
        <x:v>RN</x:v>
      </x:c>
      <x:c r="C206" s="8" t="n">
        <x:v>20</x:v>
      </x:c>
      <x:c r="D206" s="8" t="n">
        <x:v>20</x:v>
      </x:c>
      <x:c r="E206" s="9" t="n">
        <x:v>2545.41</x:v>
      </x:c>
      <x:c r="F206" s="9" t="n">
        <x:v>727.94</x:v>
      </x:c>
      <x:c r="G206" s="8" t="n">
        <x:v>20</x:v>
      </x:c>
      <x:c r="H206" s="8" t="n">
        <x:v>2</x:v>
      </x:c>
      <x:c r="I206" s="8" t="n">
        <x:v>391.7422106481</x:v>
      </x:c>
      <x:c r="J206" s="8" t="n">
        <x:v>20</x:v>
      </x:c>
      <x:c r="K206" s="8" t="n">
        <x:v>1</x:v>
      </x:c>
      <x:c r="L206" s="2"/>
      <x:c r="M206" s="2"/>
      <x:c r="N206" s="2"/>
    </x:row>
    <x:row r="207" ht="22" customHeight="1">
      <x:c r="A207" s="4" t="d">
        <x:v>2017-08-01T00:00:00.000Z</x:v>
      </x:c>
      <x:c r="B207" s="2" t="str">
        <x:v>RO</x:v>
      </x:c>
      <x:c r="C207" s="8" t="n">
        <x:v>14</x:v>
      </x:c>
      <x:c r="D207" s="8" t="n">
        <x:v>14</x:v>
      </x:c>
      <x:c r="E207" s="9" t="n">
        <x:v>2236.88</x:v>
      </x:c>
      <x:c r="F207" s="9" t="n">
        <x:v>579.09</x:v>
      </x:c>
      <x:c r="G207" s="8" t="n">
        <x:v>14</x:v>
      </x:c>
      <x:c r="H207" s="8" t="n">
        <x:v>0</x:v>
      </x:c>
      <x:c r="I207" s="8" t="n">
        <x:v>246.8622916667</x:v>
      </x:c>
      <x:c r="J207" s="8" t="n">
        <x:v>14</x:v>
      </x:c>
      <x:c r="K207" s="8" t="n">
        <x:v>1</x:v>
      </x:c>
      <x:c r="L207" s="2"/>
      <x:c r="M207" s="2"/>
      <x:c r="N207" s="2"/>
    </x:row>
    <x:row r="208" ht="22" customHeight="1">
      <x:c r="A208" s="4" t="d">
        <x:v>2017-08-01T00:00:00.000Z</x:v>
      </x:c>
      <x:c r="B208" s="2" t="str">
        <x:v>RS</x:v>
      </x:c>
      <x:c r="C208" s="8" t="n">
        <x:v>299</x:v>
      </x:c>
      <x:c r="D208" s="8" t="n">
        <x:v>296</x:v>
      </x:c>
      <x:c r="E208" s="9" t="n">
        <x:v>33491.24</x:v>
      </x:c>
      <x:c r="F208" s="9" t="n">
        <x:v>6409.15</x:v>
      </x:c>
      <x:c r="G208" s="8" t="n">
        <x:v>296</x:v>
      </x:c>
      <x:c r="H208" s="8" t="n">
        <x:v>22</x:v>
      </x:c>
      <x:c r="I208" s="8" t="n">
        <x:v>4501.0517939815</x:v>
      </x:c>
      <x:c r="J208" s="8" t="n">
        <x:v>295</x:v>
      </x:c>
      <x:c r="K208" s="8" t="n">
        <x:v>31</x:v>
      </x:c>
      <x:c r="L208" s="2"/>
      <x:c r="M208" s="2"/>
      <x:c r="N208" s="2"/>
    </x:row>
    <x:row r="209" ht="22" customHeight="1">
      <x:c r="A209" s="4" t="d">
        <x:v>2017-08-01T00:00:00.000Z</x:v>
      </x:c>
      <x:c r="B209" s="2" t="str">
        <x:v>SC</x:v>
      </x:c>
      <x:c r="C209" s="8" t="n">
        <x:v>159</x:v>
      </x:c>
      <x:c r="D209" s="8" t="n">
        <x:v>152</x:v>
      </x:c>
      <x:c r="E209" s="9" t="n">
        <x:v>21798.22</x:v>
      </x:c>
      <x:c r="F209" s="9" t="n">
        <x:v>3707.45</x:v>
      </x:c>
      <x:c r="G209" s="8" t="n">
        <x:v>152</x:v>
      </x:c>
      <x:c r="H209" s="8" t="n">
        <x:v>4</x:v>
      </x:c>
      <x:c r="I209" s="8" t="n">
        <x:v>2002.3815162037</x:v>
      </x:c>
      <x:c r="J209" s="8" t="n">
        <x:v>152</x:v>
      </x:c>
      <x:c r="K209" s="8" t="n">
        <x:v>16</x:v>
      </x:c>
      <x:c r="L209" s="2"/>
      <x:c r="M209" s="2"/>
      <x:c r="N209" s="2"/>
    </x:row>
    <x:row r="210" ht="22" customHeight="1">
      <x:c r="A210" s="4" t="d">
        <x:v>2017-08-01T00:00:00.000Z</x:v>
      </x:c>
      <x:c r="B210" s="2" t="str">
        <x:v>SE</x:v>
      </x:c>
      <x:c r="C210" s="8" t="n">
        <x:v>20</x:v>
      </x:c>
      <x:c r="D210" s="8" t="n">
        <x:v>19</x:v>
      </x:c>
      <x:c r="E210" s="9" t="n">
        <x:v>3521.69</x:v>
      </x:c>
      <x:c r="F210" s="9" t="n">
        <x:v>807.35</x:v>
      </x:c>
      <x:c r="G210" s="8" t="n">
        <x:v>19</x:v>
      </x:c>
      <x:c r="H210" s="8" t="n">
        <x:v>2</x:v>
      </x:c>
      <x:c r="I210" s="8" t="n">
        <x:v>335.5382060185</x:v>
      </x:c>
      <x:c r="J210" s="8" t="n">
        <x:v>19</x:v>
      </x:c>
      <x:c r="K210" s="8" t="n">
        <x:v>2</x:v>
      </x:c>
      <x:c r="L210" s="2"/>
      <x:c r="M210" s="2"/>
      <x:c r="N210" s="2"/>
    </x:row>
    <x:row r="211" ht="22" customHeight="1">
      <x:c r="A211" s="4" t="d">
        <x:v>2017-08-01T00:00:00.000Z</x:v>
      </x:c>
      <x:c r="B211" s="2" t="str">
        <x:v>SP</x:v>
      </x:c>
      <x:c r="C211" s="8" t="n">
        <x:v>1729</x:v>
      </x:c>
      <x:c r="D211" s="8" t="n">
        <x:v>1665</x:v>
      </x:c>
      <x:c r="E211" s="9" t="n">
        <x:v>191870.59</x:v>
      </x:c>
      <x:c r="F211" s="9" t="n">
        <x:v>27346.76</x:v>
      </x:c>
      <x:c r="G211" s="8" t="n">
        <x:v>1665</x:v>
      </x:c>
      <x:c r="H211" s="8" t="n">
        <x:v>34</x:v>
      </x:c>
      <x:c r="I211" s="8" t="n">
        <x:v>12422.3223958333</x:v>
      </x:c>
      <x:c r="J211" s="8" t="n">
        <x:v>1654</x:v>
      </x:c>
      <x:c r="K211" s="8" t="n">
        <x:v>133</x:v>
      </x:c>
      <x:c r="L211" s="2"/>
      <x:c r="M211" s="2"/>
      <x:c r="N211" s="2"/>
    </x:row>
    <x:row r="212" ht="22" customHeight="1">
      <x:c r="A212" s="4" t="d">
        <x:v>2017-08-01T00:00:00.000Z</x:v>
      </x:c>
      <x:c r="B212" s="2" t="str">
        <x:v>TO</x:v>
      </x:c>
      <x:c r="C212" s="8" t="n">
        <x:v>15</x:v>
      </x:c>
      <x:c r="D212" s="8" t="n">
        <x:v>15</x:v>
      </x:c>
      <x:c r="E212" s="9" t="n">
        <x:v>2132.57</x:v>
      </x:c>
      <x:c r="F212" s="9" t="n">
        <x:v>385.95</x:v>
      </x:c>
      <x:c r="G212" s="8" t="n">
        <x:v>15</x:v>
      </x:c>
      <x:c r="H212" s="8" t="n">
        <x:v>0</x:v>
      </x:c>
      <x:c r="I212" s="8" t="n">
        <x:v>212.953587963</x:v>
      </x:c>
      <x:c r="J212" s="8" t="n">
        <x:v>15</x:v>
      </x:c>
      <x:c r="K212" s="8" t="n">
        <x:v>0</x:v>
      </x:c>
      <x:c r="L212" s="2"/>
      <x:c r="M212" s="2"/>
      <x:c r="N212" s="2"/>
    </x:row>
    <x:row r="213" ht="22" customHeight="1">
      <x:c r="A213" s="4" t="d">
        <x:v>2017-09-01T00:00:00.000Z</x:v>
      </x:c>
      <x:c r="B213" s="2" t="str">
        <x:v>AC</x:v>
      </x:c>
      <x:c r="C213" s="8" t="n">
        <x:v>5</x:v>
      </x:c>
      <x:c r="D213" s="8" t="n">
        <x:v>5</x:v>
      </x:c>
      <x:c r="E213" s="9" t="n">
        <x:v>1786.89</x:v>
      </x:c>
      <x:c r="F213" s="9" t="n">
        <x:v>242.34</x:v>
      </x:c>
      <x:c r="G213" s="8" t="n">
        <x:v>5</x:v>
      </x:c>
      <x:c r="H213" s="8" t="n">
        <x:v>1</x:v>
      </x:c>
      <x:c r="I213" s="8" t="n">
        <x:v>133.4887731481</x:v>
      </x:c>
      <x:c r="J213" s="8" t="n">
        <x:v>5</x:v>
      </x:c>
      <x:c r="K213" s="8" t="n">
        <x:v>1</x:v>
      </x:c>
      <x:c r="L213" s="2"/>
      <x:c r="M213" s="2"/>
      <x:c r="N213" s="2"/>
    </x:row>
    <x:row r="214" ht="22" customHeight="1">
      <x:c r="A214" s="4" t="d">
        <x:v>2017-09-01T00:00:00.000Z</x:v>
      </x:c>
      <x:c r="B214" s="2" t="str">
        <x:v>AL</x:v>
      </x:c>
      <x:c r="C214" s="8" t="n">
        <x:v>20</x:v>
      </x:c>
      <x:c r="D214" s="8" t="n">
        <x:v>19</x:v>
      </x:c>
      <x:c r="E214" s="9" t="n">
        <x:v>4305.39</x:v>
      </x:c>
      <x:c r="F214" s="9" t="n">
        <x:v>788.39</x:v>
      </x:c>
      <x:c r="G214" s="8" t="n">
        <x:v>19</x:v>
      </x:c>
      <x:c r="H214" s="8" t="n">
        <x:v>8</x:v>
      </x:c>
      <x:c r="I214" s="8" t="n">
        <x:v>595.78</x:v>
      </x:c>
      <x:c r="J214" s="8" t="n">
        <x:v>19</x:v>
      </x:c>
      <x:c r="K214" s="8" t="n">
        <x:v>5</x:v>
      </x:c>
      <x:c r="L214" s="2"/>
      <x:c r="M214" s="2"/>
      <x:c r="N214" s="2"/>
    </x:row>
    <x:row r="215" ht="22" customHeight="1">
      <x:c r="A215" s="4" t="d">
        <x:v>2017-09-01T00:00:00.000Z</x:v>
      </x:c>
      <x:c r="B215" s="2" t="str">
        <x:v>AM</x:v>
      </x:c>
      <x:c r="C215" s="8" t="n">
        <x:v>9</x:v>
      </x:c>
      <x:c r="D215" s="8" t="n">
        <x:v>9</x:v>
      </x:c>
      <x:c r="E215" s="9" t="n">
        <x:v>1163.28</x:v>
      </x:c>
      <x:c r="F215" s="9" t="n">
        <x:v>355.16</x:v>
      </x:c>
      <x:c r="G215" s="8" t="n">
        <x:v>9</x:v>
      </x:c>
      <x:c r="H215" s="8" t="n">
        <x:v>0</x:v>
      </x:c>
      <x:c r="I215" s="8" t="n">
        <x:v>218.3101388889</x:v>
      </x:c>
      <x:c r="J215" s="8" t="n">
        <x:v>8</x:v>
      </x:c>
      <x:c r="K215" s="8" t="n">
        <x:v>1</x:v>
      </x:c>
      <x:c r="L215" s="2"/>
      <x:c r="M215" s="2"/>
      <x:c r="N215" s="2"/>
    </x:row>
    <x:row r="216" ht="22" customHeight="1">
      <x:c r="A216" s="4" t="d">
        <x:v>2017-09-01T00:00:00.000Z</x:v>
      </x:c>
      <x:c r="B216" s="2" t="str">
        <x:v>AP</x:v>
      </x:c>
      <x:c r="C216" s="8" t="n">
        <x:v>2</x:v>
      </x:c>
      <x:c r="D216" s="8" t="n">
        <x:v>2</x:v>
      </x:c>
      <x:c r="E216" s="9" t="n">
        <x:v>364.6</x:v>
      </x:c>
      <x:c r="F216" s="9" t="n">
        <x:v>134.62</x:v>
      </x:c>
      <x:c r="G216" s="8" t="n">
        <x:v>2</x:v>
      </x:c>
      <x:c r="H216" s="8" t="n">
        <x:v>0</x:v>
      </x:c>
      <x:c r="I216" s="8" t="n">
        <x:v>39.2445486111</x:v>
      </x:c>
      <x:c r="J216" s="8" t="n">
        <x:v>2</x:v>
      </x:c>
      <x:c r="K216" s="8" t="n">
        <x:v>0</x:v>
      </x:c>
      <x:c r="L216" s="2"/>
      <x:c r="M216" s="2"/>
      <x:c r="N216" s="2"/>
    </x:row>
    <x:row r="217" ht="22" customHeight="1">
      <x:c r="A217" s="4" t="d">
        <x:v>2017-09-01T00:00:00.000Z</x:v>
      </x:c>
      <x:c r="B217" s="2" t="str">
        <x:v>BA</x:v>
      </x:c>
      <x:c r="C217" s="8" t="n">
        <x:v>170</x:v>
      </x:c>
      <x:c r="D217" s="8" t="n">
        <x:v>167</x:v>
      </x:c>
      <x:c r="E217" s="9" t="n">
        <x:v>23658.9</x:v>
      </x:c>
      <x:c r="F217" s="9" t="n">
        <x:v>4322.42</x:v>
      </x:c>
      <x:c r="G217" s="8" t="n">
        <x:v>167</x:v>
      </x:c>
      <x:c r="H217" s="8" t="n">
        <x:v>28</x:v>
      </x:c>
      <x:c r="I217" s="8" t="n">
        <x:v>3191.9903703704</x:v>
      </x:c>
      <x:c r="J217" s="8" t="n">
        <x:v>165</x:v>
      </x:c>
      <x:c r="K217" s="8" t="n">
        <x:v>26</x:v>
      </x:c>
      <x:c r="L217" s="2"/>
      <x:c r="M217" s="2"/>
      <x:c r="N217" s="2"/>
    </x:row>
    <x:row r="218" ht="22" customHeight="1">
      <x:c r="A218" s="4" t="d">
        <x:v>2017-09-01T00:00:00.000Z</x:v>
      </x:c>
      <x:c r="B218" s="2" t="str">
        <x:v>CE</x:v>
      </x:c>
      <x:c r="C218" s="8" t="n">
        <x:v>77</x:v>
      </x:c>
      <x:c r="D218" s="8" t="n">
        <x:v>74</x:v>
      </x:c>
      <x:c r="E218" s="9" t="n">
        <x:v>16652.93</x:v>
      </x:c>
      <x:c r="F218" s="9" t="n">
        <x:v>2634.07</x:v>
      </x:c>
      <x:c r="G218" s="8" t="n">
        <x:v>74</x:v>
      </x:c>
      <x:c r="H218" s="8" t="n">
        <x:v>2</x:v>
      </x:c>
      <x:c r="I218" s="8" t="n">
        <x:v>1134.3711226852</x:v>
      </x:c>
      <x:c r="J218" s="8" t="n">
        <x:v>74</x:v>
      </x:c>
      <x:c r="K218" s="8" t="n">
        <x:v>8</x:v>
      </x:c>
      <x:c r="L218" s="2"/>
      <x:c r="M218" s="2"/>
      <x:c r="N218" s="2"/>
    </x:row>
    <x:row r="219" ht="22" customHeight="1">
      <x:c r="A219" s="4" t="d">
        <x:v>2017-09-01T00:00:00.000Z</x:v>
      </x:c>
      <x:c r="B219" s="2" t="str">
        <x:v>DF</x:v>
      </x:c>
      <x:c r="C219" s="8" t="n">
        <x:v>97</x:v>
      </x:c>
      <x:c r="D219" s="8" t="n">
        <x:v>94</x:v>
      </x:c>
      <x:c r="E219" s="9" t="n">
        <x:v>13200</x:v>
      </x:c>
      <x:c r="F219" s="9" t="n">
        <x:v>2162.93</x:v>
      </x:c>
      <x:c r="G219" s="8" t="n">
        <x:v>94</x:v>
      </x:c>
      <x:c r="H219" s="8" t="n">
        <x:v>7</x:v>
      </x:c>
      <x:c r="I219" s="8" t="n">
        <x:v>1211.3900462963</x:v>
      </x:c>
      <x:c r="J219" s="8" t="n">
        <x:v>94</x:v>
      </x:c>
      <x:c r="K219" s="8" t="n">
        <x:v>12</x:v>
      </x:c>
      <x:c r="L219" s="2"/>
      <x:c r="M219" s="2"/>
      <x:c r="N219" s="2"/>
    </x:row>
    <x:row r="220" ht="22" customHeight="1">
      <x:c r="A220" s="4" t="d">
        <x:v>2017-09-01T00:00:00.000Z</x:v>
      </x:c>
      <x:c r="B220" s="2" t="str">
        <x:v>ES</x:v>
      </x:c>
      <x:c r="C220" s="8" t="n">
        <x:v>93</x:v>
      </x:c>
      <x:c r="D220" s="8" t="n">
        <x:v>93</x:v>
      </x:c>
      <x:c r="E220" s="9" t="n">
        <x:v>11235.95</x:v>
      </x:c>
      <x:c r="F220" s="9" t="n">
        <x:v>2078.24</x:v>
      </x:c>
      <x:c r="G220" s="8" t="n">
        <x:v>93</x:v>
      </x:c>
      <x:c r="H220" s="8" t="n">
        <x:v>4</x:v>
      </x:c>
      <x:c r="I220" s="8" t="n">
        <x:v>1190.0738888889</x:v>
      </x:c>
      <x:c r="J220" s="8" t="n">
        <x:v>92</x:v>
      </x:c>
      <x:c r="K220" s="8" t="n">
        <x:v>7</x:v>
      </x:c>
      <x:c r="L220" s="2"/>
      <x:c r="M220" s="2"/>
      <x:c r="N220" s="2"/>
    </x:row>
    <x:row r="221" ht="22" customHeight="1">
      <x:c r="A221" s="4" t="d">
        <x:v>2017-09-01T00:00:00.000Z</x:v>
      </x:c>
      <x:c r="B221" s="2" t="str">
        <x:v>GO</x:v>
      </x:c>
      <x:c r="C221" s="8" t="n">
        <x:v>88</x:v>
      </x:c>
      <x:c r="D221" s="8" t="n">
        <x:v>84</x:v>
      </x:c>
      <x:c r="E221" s="9" t="n">
        <x:v>13183.74</x:v>
      </x:c>
      <x:c r="F221" s="9" t="n">
        <x:v>2304.58</x:v>
      </x:c>
      <x:c r="G221" s="8" t="n">
        <x:v>84</x:v>
      </x:c>
      <x:c r="H221" s="8" t="n">
        <x:v>2</x:v>
      </x:c>
      <x:c r="I221" s="8" t="n">
        <x:v>1157.183275463</x:v>
      </x:c>
      <x:c r="J221" s="8" t="n">
        <x:v>84</x:v>
      </x:c>
      <x:c r="K221" s="8" t="n">
        <x:v>12</x:v>
      </x:c>
      <x:c r="L221" s="2"/>
      <x:c r="M221" s="2"/>
      <x:c r="N221" s="2"/>
    </x:row>
    <x:row r="222" ht="22" customHeight="1">
      <x:c r="A222" s="4" t="d">
        <x:v>2017-09-01T00:00:00.000Z</x:v>
      </x:c>
      <x:c r="B222" s="2" t="str">
        <x:v>MA</x:v>
      </x:c>
      <x:c r="C222" s="8" t="n">
        <x:v>42</x:v>
      </x:c>
      <x:c r="D222" s="8" t="n">
        <x:v>41</x:v>
      </x:c>
      <x:c r="E222" s="9" t="n">
        <x:v>9440.35</x:v>
      </x:c>
      <x:c r="F222" s="9" t="n">
        <x:v>1783.34</x:v>
      </x:c>
      <x:c r="G222" s="8" t="n">
        <x:v>41</x:v>
      </x:c>
      <x:c r="H222" s="8" t="n">
        <x:v>3</x:v>
      </x:c>
      <x:c r="I222" s="8" t="n">
        <x:v>723.9994212963</x:v>
      </x:c>
      <x:c r="J222" s="8" t="n">
        <x:v>41</x:v>
      </x:c>
      <x:c r="K222" s="8" t="n">
        <x:v>4</x:v>
      </x:c>
      <x:c r="L222" s="2"/>
      <x:c r="M222" s="2"/>
      <x:c r="N222" s="2"/>
    </x:row>
    <x:row r="223" ht="22" customHeight="1">
      <x:c r="A223" s="4" t="d">
        <x:v>2017-09-01T00:00:00.000Z</x:v>
      </x:c>
      <x:c r="B223" s="2" t="str">
        <x:v>MG</x:v>
      </x:c>
      <x:c r="C223" s="8" t="n">
        <x:v>507</x:v>
      </x:c>
      <x:c r="D223" s="8" t="n">
        <x:v>493</x:v>
      </x:c>
      <x:c r="E223" s="9" t="n">
        <x:v>71516.26</x:v>
      </x:c>
      <x:c r="F223" s="9" t="n">
        <x:v>11327.23</x:v>
      </x:c>
      <x:c r="G223" s="8" t="n">
        <x:v>493</x:v>
      </x:c>
      <x:c r="H223" s="8" t="n">
        <x:v>5</x:v>
      </x:c>
      <x:c r="I223" s="8" t="n">
        <x:v>5025.9715740741</x:v>
      </x:c>
      <x:c r="J223" s="8" t="n">
        <x:v>491</x:v>
      </x:c>
      <x:c r="K223" s="8" t="n">
        <x:v>37</x:v>
      </x:c>
      <x:c r="L223" s="2"/>
      <x:c r="M223" s="2"/>
      <x:c r="N223" s="2"/>
    </x:row>
    <x:row r="224" ht="22" customHeight="1">
      <x:c r="A224" s="4" t="d">
        <x:v>2017-09-01T00:00:00.000Z</x:v>
      </x:c>
      <x:c r="B224" s="2" t="str">
        <x:v>MS</x:v>
      </x:c>
      <x:c r="C224" s="8" t="n">
        <x:v>33</x:v>
      </x:c>
      <x:c r="D224" s="8" t="n">
        <x:v>32</x:v>
      </x:c>
      <x:c r="E224" s="9" t="n">
        <x:v>4902.71</x:v>
      </x:c>
      <x:c r="F224" s="9" t="n">
        <x:v>666.77</x:v>
      </x:c>
      <x:c r="G224" s="8" t="n">
        <x:v>32</x:v>
      </x:c>
      <x:c r="H224" s="8" t="n">
        <x:v>0</x:v>
      </x:c>
      <x:c r="I224" s="8" t="n">
        <x:v>381.4172916667</x:v>
      </x:c>
      <x:c r="J224" s="8" t="n">
        <x:v>32</x:v>
      </x:c>
      <x:c r="K224" s="8" t="n">
        <x:v>4</x:v>
      </x:c>
      <x:c r="L224" s="2"/>
      <x:c r="M224" s="2"/>
      <x:c r="N224" s="2"/>
    </x:row>
    <x:row r="225" ht="22" customHeight="1">
      <x:c r="A225" s="4" t="d">
        <x:v>2017-09-01T00:00:00.000Z</x:v>
      </x:c>
      <x:c r="B225" s="2" t="str">
        <x:v>MT</x:v>
      </x:c>
      <x:c r="C225" s="8" t="n">
        <x:v>35</x:v>
      </x:c>
      <x:c r="D225" s="8" t="n">
        <x:v>34</x:v>
      </x:c>
      <x:c r="E225" s="9" t="n">
        <x:v>6861.01</x:v>
      </x:c>
      <x:c r="F225" s="9" t="n">
        <x:v>1306.21</x:v>
      </x:c>
      <x:c r="G225" s="8" t="n">
        <x:v>34</x:v>
      </x:c>
      <x:c r="H225" s="8" t="n">
        <x:v>2</x:v>
      </x:c>
      <x:c r="I225" s="8" t="n">
        <x:v>546.7905324074</x:v>
      </x:c>
      <x:c r="J225" s="8" t="n">
        <x:v>34</x:v>
      </x:c>
      <x:c r="K225" s="8" t="n">
        <x:v>6</x:v>
      </x:c>
      <x:c r="L225" s="2"/>
      <x:c r="M225" s="2"/>
      <x:c r="N225" s="2"/>
    </x:row>
    <x:row r="226" ht="22" customHeight="1">
      <x:c r="A226" s="4" t="d">
        <x:v>2017-09-01T00:00:00.000Z</x:v>
      </x:c>
      <x:c r="B226" s="2" t="str">
        <x:v>PA</x:v>
      </x:c>
      <x:c r="C226" s="8" t="n">
        <x:v>41</x:v>
      </x:c>
      <x:c r="D226" s="8" t="n">
        <x:v>41</x:v>
      </x:c>
      <x:c r="E226" s="9" t="n">
        <x:v>6218.39</x:v>
      </x:c>
      <x:c r="F226" s="9" t="n">
        <x:v>1513.35</x:v>
      </x:c>
      <x:c r="G226" s="8" t="n">
        <x:v>41</x:v>
      </x:c>
      <x:c r="H226" s="8" t="n">
        <x:v>5</x:v>
      </x:c>
      <x:c r="I226" s="8" t="n">
        <x:v>992.4359259259</x:v>
      </x:c>
      <x:c r="J226" s="8" t="n">
        <x:v>41</x:v>
      </x:c>
      <x:c r="K226" s="8" t="n">
        <x:v>6</x:v>
      </x:c>
      <x:c r="L226" s="2"/>
      <x:c r="M226" s="2"/>
      <x:c r="N226" s="2"/>
    </x:row>
    <x:row r="227" ht="22" customHeight="1">
      <x:c r="A227" s="4" t="d">
        <x:v>2017-09-01T00:00:00.000Z</x:v>
      </x:c>
      <x:c r="B227" s="2" t="str">
        <x:v>PB</x:v>
      </x:c>
      <x:c r="C227" s="8" t="n">
        <x:v>29</x:v>
      </x:c>
      <x:c r="D227" s="8" t="n">
        <x:v>25</x:v>
      </x:c>
      <x:c r="E227" s="9" t="n">
        <x:v>4989.39</x:v>
      </x:c>
      <x:c r="F227" s="9" t="n">
        <x:v>1294.88</x:v>
      </x:c>
      <x:c r="G227" s="8" t="n">
        <x:v>25</x:v>
      </x:c>
      <x:c r="H227" s="8" t="n">
        <x:v>7</x:v>
      </x:c>
      <x:c r="I227" s="8" t="n">
        <x:v>663.2015046296</x:v>
      </x:c>
      <x:c r="J227" s="8" t="n">
        <x:v>24</x:v>
      </x:c>
      <x:c r="K227" s="8" t="n">
        <x:v>2</x:v>
      </x:c>
      <x:c r="L227" s="2"/>
      <x:c r="M227" s="2"/>
      <x:c r="N227" s="2"/>
    </x:row>
    <x:row r="228" ht="22" customHeight="1">
      <x:c r="A228" s="4" t="d">
        <x:v>2017-09-01T00:00:00.000Z</x:v>
      </x:c>
      <x:c r="B228" s="2" t="str">
        <x:v>PE</x:v>
      </x:c>
      <x:c r="C228" s="8" t="n">
        <x:v>76</x:v>
      </x:c>
      <x:c r="D228" s="8" t="n">
        <x:v>74</x:v>
      </x:c>
      <x:c r="E228" s="9" t="n">
        <x:v>13009.62</x:v>
      </x:c>
      <x:c r="F228" s="9" t="n">
        <x:v>2519.98</x:v>
      </x:c>
      <x:c r="G228" s="8" t="n">
        <x:v>74</x:v>
      </x:c>
      <x:c r="H228" s="8" t="n">
        <x:v>6</x:v>
      </x:c>
      <x:c r="I228" s="8" t="n">
        <x:v>1219.7025</x:v>
      </x:c>
      <x:c r="J228" s="8" t="n">
        <x:v>73</x:v>
      </x:c>
      <x:c r="K228" s="8" t="n">
        <x:v>11</x:v>
      </x:c>
      <x:c r="L228" s="2"/>
      <x:c r="M228" s="2"/>
      <x:c r="N228" s="2"/>
    </x:row>
    <x:row r="229" ht="22" customHeight="1">
      <x:c r="A229" s="4" t="d">
        <x:v>2017-09-01T00:00:00.000Z</x:v>
      </x:c>
      <x:c r="B229" s="2" t="str">
        <x:v>PI</x:v>
      </x:c>
      <x:c r="C229" s="8" t="n">
        <x:v>23</x:v>
      </x:c>
      <x:c r="D229" s="8" t="n">
        <x:v>22</x:v>
      </x:c>
      <x:c r="E229" s="9" t="n">
        <x:v>2848.23</x:v>
      </x:c>
      <x:c r="F229" s="9" t="n">
        <x:v>725.94</x:v>
      </x:c>
      <x:c r="G229" s="8" t="n">
        <x:v>22</x:v>
      </x:c>
      <x:c r="H229" s="8" t="n">
        <x:v>1</x:v>
      </x:c>
      <x:c r="I229" s="8" t="n">
        <x:v>366.0126851852</x:v>
      </x:c>
      <x:c r="J229" s="8" t="n">
        <x:v>21</x:v>
      </x:c>
      <x:c r="K229" s="8" t="n">
        <x:v>2</x:v>
      </x:c>
      <x:c r="L229" s="2"/>
      <x:c r="M229" s="2"/>
      <x:c r="N229" s="2"/>
    </x:row>
    <x:row r="230" ht="22" customHeight="1">
      <x:c r="A230" s="4" t="d">
        <x:v>2017-09-01T00:00:00.000Z</x:v>
      </x:c>
      <x:c r="B230" s="2" t="str">
        <x:v>PR</x:v>
      </x:c>
      <x:c r="C230" s="8" t="n">
        <x:v>183</x:v>
      </x:c>
      <x:c r="D230" s="8" t="n">
        <x:v>176</x:v>
      </x:c>
      <x:c r="E230" s="9" t="n">
        <x:v>20882.61</x:v>
      </x:c>
      <x:c r="F230" s="9" t="n">
        <x:v>3884.29</x:v>
      </x:c>
      <x:c r="G230" s="8" t="n">
        <x:v>176</x:v>
      </x:c>
      <x:c r="H230" s="8" t="n">
        <x:v>1</x:v>
      </x:c>
      <x:c r="I230" s="8" t="n">
        <x:v>2043.1377199074</x:v>
      </x:c>
      <x:c r="J230" s="8" t="n">
        <x:v>174</x:v>
      </x:c>
      <x:c r="K230" s="8" t="n">
        <x:v>19</x:v>
      </x:c>
      <x:c r="L230" s="2"/>
      <x:c r="M230" s="2"/>
      <x:c r="N230" s="2"/>
    </x:row>
    <x:row r="231" ht="22" customHeight="1">
      <x:c r="A231" s="4" t="d">
        <x:v>2017-09-01T00:00:00.000Z</x:v>
      </x:c>
      <x:c r="B231" s="2" t="str">
        <x:v>RJ</x:v>
      </x:c>
      <x:c r="C231" s="8" t="n">
        <x:v>609</x:v>
      </x:c>
      <x:c r="D231" s="8" t="n">
        <x:v>591</x:v>
      </x:c>
      <x:c r="E231" s="9" t="n">
        <x:v>93058.28</x:v>
      </x:c>
      <x:c r="F231" s="9" t="n">
        <x:v>13638.87</x:v>
      </x:c>
      <x:c r="G231" s="8" t="n">
        <x:v>591</x:v>
      </x:c>
      <x:c r="H231" s="8" t="n">
        <x:v>30</x:v>
      </x:c>
      <x:c r="I231" s="8" t="n">
        <x:v>7637.8628819444</x:v>
      </x:c>
      <x:c r="J231" s="8" t="n">
        <x:v>584</x:v>
      </x:c>
      <x:c r="K231" s="8" t="n">
        <x:v>63</x:v>
      </x:c>
      <x:c r="L231" s="2"/>
      <x:c r="M231" s="2"/>
      <x:c r="N231" s="2"/>
    </x:row>
    <x:row r="232" ht="22" customHeight="1">
      <x:c r="A232" s="4" t="d">
        <x:v>2017-09-01T00:00:00.000Z</x:v>
      </x:c>
      <x:c r="B232" s="2" t="str">
        <x:v>RN</x:v>
      </x:c>
      <x:c r="C232" s="8" t="n">
        <x:v>24</x:v>
      </x:c>
      <x:c r="D232" s="8" t="n">
        <x:v>23</x:v>
      </x:c>
      <x:c r="E232" s="9" t="n">
        <x:v>3320.04</x:v>
      </x:c>
      <x:c r="F232" s="9" t="n">
        <x:v>699.82</x:v>
      </x:c>
      <x:c r="G232" s="8" t="n">
        <x:v>23</x:v>
      </x:c>
      <x:c r="H232" s="8" t="n">
        <x:v>3</x:v>
      </x:c>
      <x:c r="I232" s="8" t="n">
        <x:v>496.6293518519</x:v>
      </x:c>
      <x:c r="J232" s="8" t="n">
        <x:v>23</x:v>
      </x:c>
      <x:c r="K232" s="8" t="n">
        <x:v>7</x:v>
      </x:c>
      <x:c r="L232" s="2"/>
      <x:c r="M232" s="2"/>
      <x:c r="N232" s="2"/>
    </x:row>
    <x:row r="233" ht="22" customHeight="1">
      <x:c r="A233" s="4" t="d">
        <x:v>2017-09-01T00:00:00.000Z</x:v>
      </x:c>
      <x:c r="B233" s="2" t="str">
        <x:v>RO</x:v>
      </x:c>
      <x:c r="C233" s="8" t="n">
        <x:v>16</x:v>
      </x:c>
      <x:c r="D233" s="8" t="n">
        <x:v>16</x:v>
      </x:c>
      <x:c r="E233" s="9" t="n">
        <x:v>4197.99</x:v>
      </x:c>
      <x:c r="F233" s="9" t="n">
        <x:v>740.29</x:v>
      </x:c>
      <x:c r="G233" s="8" t="n">
        <x:v>16</x:v>
      </x:c>
      <x:c r="H233" s="8" t="n">
        <x:v>0</x:v>
      </x:c>
      <x:c r="I233" s="8" t="n">
        <x:v>280.3600462963</x:v>
      </x:c>
      <x:c r="J233" s="8" t="n">
        <x:v>16</x:v>
      </x:c>
      <x:c r="K233" s="8" t="n">
        <x:v>3</x:v>
      </x:c>
      <x:c r="L233" s="2"/>
      <x:c r="M233" s="2"/>
      <x:c r="N233" s="2"/>
    </x:row>
    <x:row r="234" ht="22" customHeight="1">
      <x:c r="A234" s="4" t="d">
        <x:v>2017-09-01T00:00:00.000Z</x:v>
      </x:c>
      <x:c r="B234" s="2" t="str">
        <x:v>RR</x:v>
      </x:c>
      <x:c r="C234" s="8" t="n">
        <x:v>1</x:v>
      </x:c>
      <x:c r="D234" s="8" t="n">
        <x:v>1</x:v>
      </x:c>
      <x:c r="E234" s="9" t="n">
        <x:v>39.99</x:v>
      </x:c>
      <x:c r="F234" s="9" t="n">
        <x:v>25.38</x:v>
      </x:c>
      <x:c r="G234" s="8" t="n">
        <x:v>1</x:v>
      </x:c>
      <x:c r="H234" s="8" t="n">
        <x:v>0</x:v>
      </x:c>
      <x:c r="I234" s="8" t="n">
        <x:v>17.039849537</x:v>
      </x:c>
      <x:c r="J234" s="8" t="n">
        <x:v>1</x:v>
      </x:c>
      <x:c r="K234" s="8" t="n">
        <x:v>0</x:v>
      </x:c>
      <x:c r="L234" s="2"/>
      <x:c r="M234" s="2"/>
      <x:c r="N234" s="2"/>
    </x:row>
    <x:row r="235" ht="22" customHeight="1">
      <x:c r="A235" s="4" t="d">
        <x:v>2017-09-01T00:00:00.000Z</x:v>
      </x:c>
      <x:c r="B235" s="2" t="str">
        <x:v>RS</x:v>
      </x:c>
      <x:c r="C235" s="8" t="n">
        <x:v>278</x:v>
      </x:c>
      <x:c r="D235" s="8" t="n">
        <x:v>273</x:v>
      </x:c>
      <x:c r="E235" s="9" t="n">
        <x:v>37058.27</x:v>
      </x:c>
      <x:c r="F235" s="9" t="n">
        <x:v>6175.33</x:v>
      </x:c>
      <x:c r="G235" s="8" t="n">
        <x:v>273</x:v>
      </x:c>
      <x:c r="H235" s="8" t="n">
        <x:v>5</x:v>
      </x:c>
      <x:c r="I235" s="8" t="n">
        <x:v>3800.5486574074</x:v>
      </x:c>
      <x:c r="J235" s="8" t="n">
        <x:v>273</x:v>
      </x:c>
      <x:c r="K235" s="8" t="n">
        <x:v>24</x:v>
      </x:c>
      <x:c r="L235" s="2"/>
      <x:c r="M235" s="2"/>
      <x:c r="N235" s="2"/>
    </x:row>
    <x:row r="236" ht="22" customHeight="1">
      <x:c r="A236" s="4" t="d">
        <x:v>2017-09-01T00:00:00.000Z</x:v>
      </x:c>
      <x:c r="B236" s="2" t="str">
        <x:v>SC</x:v>
      </x:c>
      <x:c r="C236" s="8" t="n">
        <x:v>156</x:v>
      </x:c>
      <x:c r="D236" s="8" t="n">
        <x:v>153</x:v>
      </x:c>
      <x:c r="E236" s="9" t="n">
        <x:v>25545.13</x:v>
      </x:c>
      <x:c r="F236" s="9" t="n">
        <x:v>3604.94</x:v>
      </x:c>
      <x:c r="G236" s="8" t="n">
        <x:v>153</x:v>
      </x:c>
      <x:c r="H236" s="8" t="n">
        <x:v>11</x:v>
      </x:c>
      <x:c r="I236" s="8" t="n">
        <x:v>2201.9840740741</x:v>
      </x:c>
      <x:c r="J236" s="8" t="n">
        <x:v>153</x:v>
      </x:c>
      <x:c r="K236" s="8" t="n">
        <x:v>16</x:v>
      </x:c>
      <x:c r="L236" s="2"/>
      <x:c r="M236" s="2"/>
      <x:c r="N236" s="2"/>
    </x:row>
    <x:row r="237" ht="22" customHeight="1">
      <x:c r="A237" s="4" t="d">
        <x:v>2017-09-01T00:00:00.000Z</x:v>
      </x:c>
      <x:c r="B237" s="2" t="str">
        <x:v>SE</x:v>
      </x:c>
      <x:c r="C237" s="8" t="n">
        <x:v>16</x:v>
      </x:c>
      <x:c r="D237" s="8" t="n">
        <x:v>16</x:v>
      </x:c>
      <x:c r="E237" s="9" t="n">
        <x:v>2815.29</x:v>
      </x:c>
      <x:c r="F237" s="9" t="n">
        <x:v>726.2</x:v>
      </x:c>
      <x:c r="G237" s="8" t="n">
        <x:v>16</x:v>
      </x:c>
      <x:c r="H237" s="8" t="n">
        <x:v>2</x:v>
      </x:c>
      <x:c r="I237" s="8" t="n">
        <x:v>328.8393865741</x:v>
      </x:c>
      <x:c r="J237" s="8" t="n">
        <x:v>16</x:v>
      </x:c>
      <x:c r="K237" s="8" t="n">
        <x:v>2</x:v>
      </x:c>
      <x:c r="L237" s="2"/>
      <x:c r="M237" s="2"/>
      <x:c r="N237" s="2"/>
    </x:row>
    <x:row r="238" ht="22" customHeight="1">
      <x:c r="A238" s="4" t="d">
        <x:v>2017-09-01T00:00:00.000Z</x:v>
      </x:c>
      <x:c r="B238" s="2" t="str">
        <x:v>SP</x:v>
      </x:c>
      <x:c r="C238" s="8" t="n">
        <x:v>1638</x:v>
      </x:c>
      <x:c r="D238" s="8" t="n">
        <x:v>1576</x:v>
      </x:c>
      <x:c r="E238" s="9" t="n">
        <x:v>211451.3</x:v>
      </x:c>
      <x:c r="F238" s="9" t="n">
        <x:v>27315.66</x:v>
      </x:c>
      <x:c r="G238" s="8" t="n">
        <x:v>1576</x:v>
      </x:c>
      <x:c r="H238" s="8" t="n">
        <x:v>49</x:v>
      </x:c>
      <x:c r="I238" s="8" t="n">
        <x:v>13273.0720833333</x:v>
      </x:c>
      <x:c r="J238" s="8" t="n">
        <x:v>1562</x:v>
      </x:c>
      <x:c r="K238" s="8" t="n">
        <x:v>144</x:v>
      </x:c>
      <x:c r="L238" s="2"/>
      <x:c r="M238" s="2"/>
      <x:c r="N238" s="2"/>
    </x:row>
    <x:row r="239" ht="22" customHeight="1">
      <x:c r="A239" s="4" t="d">
        <x:v>2017-09-01T00:00:00.000Z</x:v>
      </x:c>
      <x:c r="B239" s="2" t="str">
        <x:v>TO</x:v>
      </x:c>
      <x:c r="C239" s="8" t="n">
        <x:v>17</x:v>
      </x:c>
      <x:c r="D239" s="8" t="n">
        <x:v>16</x:v>
      </x:c>
      <x:c r="E239" s="9" t="n">
        <x:v>3693.13</x:v>
      </x:c>
      <x:c r="F239" s="9" t="n">
        <x:v>706.59</x:v>
      </x:c>
      <x:c r="G239" s="8" t="n">
        <x:v>16</x:v>
      </x:c>
      <x:c r="H239" s="8" t="n">
        <x:v>0</x:v>
      </x:c>
      <x:c r="I239" s="8" t="n">
        <x:v>310.8394444444</x:v>
      </x:c>
      <x:c r="J239" s="8" t="n">
        <x:v>16</x:v>
      </x:c>
      <x:c r="K239" s="8" t="n">
        <x:v>1</x:v>
      </x:c>
      <x:c r="L239" s="2"/>
      <x:c r="M239" s="2"/>
      <x:c r="N239" s="2"/>
    </x:row>
    <x:row r="240" ht="22" customHeight="1">
      <x:c r="A240" s="4" t="d">
        <x:v>2017-10-01T00:00:00.000Z</x:v>
      </x:c>
      <x:c r="B240" s="2" t="str">
        <x:v>AC</x:v>
      </x:c>
      <x:c r="C240" s="8" t="n">
        <x:v>6</x:v>
      </x:c>
      <x:c r="D240" s="8" t="n">
        <x:v>5</x:v>
      </x:c>
      <x:c r="E240" s="9" t="n">
        <x:v>683.22</x:v>
      </x:c>
      <x:c r="F240" s="9" t="n">
        <x:v>180.58</x:v>
      </x:c>
      <x:c r="G240" s="8" t="n">
        <x:v>5</x:v>
      </x:c>
      <x:c r="H240" s="8" t="n">
        <x:v>0</x:v>
      </x:c>
      <x:c r="I240" s="8" t="n">
        <x:v>65.7163541667</x:v>
      </x:c>
      <x:c r="J240" s="8" t="n">
        <x:v>5</x:v>
      </x:c>
      <x:c r="K240" s="8" t="n">
        <x:v>1</x:v>
      </x:c>
      <x:c r="L240" s="2"/>
      <x:c r="M240" s="2"/>
      <x:c r="N240" s="2"/>
    </x:row>
    <x:row r="241" ht="22" customHeight="1">
      <x:c r="A241" s="4" t="d">
        <x:v>2017-10-01T00:00:00.000Z</x:v>
      </x:c>
      <x:c r="B241" s="2" t="str">
        <x:v>AL</x:v>
      </x:c>
      <x:c r="C241" s="8" t="n">
        <x:v>28</x:v>
      </x:c>
      <x:c r="D241" s="8" t="n">
        <x:v>28</x:v>
      </x:c>
      <x:c r="E241" s="9" t="n">
        <x:v>5344.36</x:v>
      </x:c>
      <x:c r="F241" s="9" t="n">
        <x:v>997.22</x:v>
      </x:c>
      <x:c r="G241" s="8" t="n">
        <x:v>28</x:v>
      </x:c>
      <x:c r="H241" s="8" t="n">
        <x:v>2</x:v>
      </x:c>
      <x:c r="I241" s="8" t="n">
        <x:v>570.6587962963</x:v>
      </x:c>
      <x:c r="J241" s="8" t="n">
        <x:v>28</x:v>
      </x:c>
      <x:c r="K241" s="8" t="n">
        <x:v>3</x:v>
      </x:c>
      <x:c r="L241" s="2"/>
      <x:c r="M241" s="2"/>
      <x:c r="N241" s="2"/>
    </x:row>
    <x:row r="242" ht="22" customHeight="1">
      <x:c r="A242" s="4" t="d">
        <x:v>2017-10-01T00:00:00.000Z</x:v>
      </x:c>
      <x:c r="B242" s="2" t="str">
        <x:v>AM</x:v>
      </x:c>
      <x:c r="C242" s="8" t="n">
        <x:v>3</x:v>
      </x:c>
      <x:c r="D242" s="8" t="n">
        <x:v>3</x:v>
      </x:c>
      <x:c r="E242" s="9" t="n">
        <x:v>70.88</x:v>
      </x:c>
      <x:c r="F242" s="9" t="n">
        <x:v>93.68</x:v>
      </x:c>
      <x:c r="G242" s="8" t="n">
        <x:v>3</x:v>
      </x:c>
      <x:c r="H242" s="8" t="n">
        <x:v>0</x:v>
      </x:c>
      <x:c r="I242" s="8" t="n">
        <x:v>58.8732638889</x:v>
      </x:c>
      <x:c r="J242" s="8" t="n">
        <x:v>3</x:v>
      </x:c>
      <x:c r="K242" s="8" t="n">
        <x:v>0</x:v>
      </x:c>
      <x:c r="L242" s="2"/>
      <x:c r="M242" s="2"/>
      <x:c r="N242" s="2"/>
    </x:row>
    <x:row r="243" ht="22" customHeight="1">
      <x:c r="A243" s="4" t="d">
        <x:v>2017-10-01T00:00:00.000Z</x:v>
      </x:c>
      <x:c r="B243" s="2" t="str">
        <x:v>AP</x:v>
      </x:c>
      <x:c r="C243" s="8" t="n">
        <x:v>3</x:v>
      </x:c>
      <x:c r="D243" s="8" t="n">
        <x:v>3</x:v>
      </x:c>
      <x:c r="E243" s="9" t="n">
        <x:v>1591.85</x:v>
      </x:c>
      <x:c r="F243" s="9" t="n">
        <x:v>104.89</x:v>
      </x:c>
      <x:c r="G243" s="8" t="n">
        <x:v>3</x:v>
      </x:c>
      <x:c r="H243" s="8" t="n">
        <x:v>0</x:v>
      </x:c>
      <x:c r="I243" s="8" t="n">
        <x:v>56.0735185185</x:v>
      </x:c>
      <x:c r="J243" s="8" t="n">
        <x:v>3</x:v>
      </x:c>
      <x:c r="K243" s="8" t="n">
        <x:v>0</x:v>
      </x:c>
      <x:c r="L243" s="2"/>
      <x:c r="M243" s="2"/>
      <x:c r="N243" s="2"/>
    </x:row>
    <x:row r="244" ht="22" customHeight="1">
      <x:c r="A244" s="4" t="d">
        <x:v>2017-10-01T00:00:00.000Z</x:v>
      </x:c>
      <x:c r="B244" s="2" t="str">
        <x:v>BA</x:v>
      </x:c>
      <x:c r="C244" s="8" t="n">
        <x:v>166</x:v>
      </x:c>
      <x:c r="D244" s="8" t="n">
        <x:v>158</x:v>
      </x:c>
      <x:c r="E244" s="9" t="n">
        <x:v>23319.92</x:v>
      </x:c>
      <x:c r="F244" s="9" t="n">
        <x:v>4294.28</x:v>
      </x:c>
      <x:c r="G244" s="8" t="n">
        <x:v>158</x:v>
      </x:c>
      <x:c r="H244" s="8" t="n">
        <x:v>16</x:v>
      </x:c>
      <x:c r="I244" s="8" t="n">
        <x:v>2878.8993865741</x:v>
      </x:c>
      <x:c r="J244" s="8" t="n">
        <x:v>157</x:v>
      </x:c>
      <x:c r="K244" s="8" t="n">
        <x:v>27</x:v>
      </x:c>
      <x:c r="L244" s="2"/>
      <x:c r="M244" s="2"/>
      <x:c r="N244" s="2"/>
    </x:row>
    <x:row r="245" ht="22" customHeight="1">
      <x:c r="A245" s="4" t="d">
        <x:v>2017-10-01T00:00:00.000Z</x:v>
      </x:c>
      <x:c r="B245" s="2" t="str">
        <x:v>CE</x:v>
      </x:c>
      <x:c r="C245" s="8" t="n">
        <x:v>66</x:v>
      </x:c>
      <x:c r="D245" s="8" t="n">
        <x:v>63</x:v>
      </x:c>
      <x:c r="E245" s="9" t="n">
        <x:v>12053.02</x:v>
      </x:c>
      <x:c r="F245" s="9" t="n">
        <x:v>2285.57</x:v>
      </x:c>
      <x:c r="G245" s="8" t="n">
        <x:v>63</x:v>
      </x:c>
      <x:c r="H245" s="8" t="n">
        <x:v>3</x:v>
      </x:c>
      <x:c r="I245" s="8" t="n">
        <x:v>1236.4003009259</x:v>
      </x:c>
      <x:c r="J245" s="8" t="n">
        <x:v>62</x:v>
      </x:c>
      <x:c r="K245" s="8" t="n">
        <x:v>11</x:v>
      </x:c>
      <x:c r="L245" s="2"/>
      <x:c r="M245" s="2"/>
      <x:c r="N245" s="2"/>
    </x:row>
    <x:row r="246" ht="22" customHeight="1">
      <x:c r="A246" s="4" t="d">
        <x:v>2017-10-01T00:00:00.000Z</x:v>
      </x:c>
      <x:c r="B246" s="2" t="str">
        <x:v>DF</x:v>
      </x:c>
      <x:c r="C246" s="8" t="n">
        <x:v>98</x:v>
      </x:c>
      <x:c r="D246" s="8" t="n">
        <x:v>92</x:v>
      </x:c>
      <x:c r="E246" s="9" t="n">
        <x:v>12634.5</x:v>
      </x:c>
      <x:c r="F246" s="9" t="n">
        <x:v>2097</x:v>
      </x:c>
      <x:c r="G246" s="8" t="n">
        <x:v>92</x:v>
      </x:c>
      <x:c r="H246" s="8" t="n">
        <x:v>3</x:v>
      </x:c>
      <x:c r="I246" s="8" t="n">
        <x:v>1151.0054976852</x:v>
      </x:c>
      <x:c r="J246" s="8" t="n">
        <x:v>92</x:v>
      </x:c>
      <x:c r="K246" s="8" t="n">
        <x:v>13</x:v>
      </x:c>
      <x:c r="L246" s="2"/>
      <x:c r="M246" s="2"/>
      <x:c r="N246" s="2"/>
    </x:row>
    <x:row r="247" ht="22" customHeight="1">
      <x:c r="A247" s="4" t="d">
        <x:v>2017-10-01T00:00:00.000Z</x:v>
      </x:c>
      <x:c r="B247" s="2" t="str">
        <x:v>ES</x:v>
      </x:c>
      <x:c r="C247" s="8" t="n">
        <x:v>100</x:v>
      </x:c>
      <x:c r="D247" s="8" t="n">
        <x:v>100</x:v>
      </x:c>
      <x:c r="E247" s="9" t="n">
        <x:v>10380.69</x:v>
      </x:c>
      <x:c r="F247" s="9" t="n">
        <x:v>2286.86</x:v>
      </x:c>
      <x:c r="G247" s="8" t="n">
        <x:v>100</x:v>
      </x:c>
      <x:c r="H247" s="8" t="n">
        <x:v>5</x:v>
      </x:c>
      <x:c r="I247" s="8" t="n">
        <x:v>1455.66</x:v>
      </x:c>
      <x:c r="J247" s="8" t="n">
        <x:v>100</x:v>
      </x:c>
      <x:c r="K247" s="8" t="n">
        <x:v>7</x:v>
      </x:c>
      <x:c r="L247" s="2"/>
      <x:c r="M247" s="2"/>
      <x:c r="N247" s="2"/>
    </x:row>
    <x:row r="248" ht="22" customHeight="1">
      <x:c r="A248" s="4" t="d">
        <x:v>2017-10-01T00:00:00.000Z</x:v>
      </x:c>
      <x:c r="B248" s="2" t="str">
        <x:v>GO</x:v>
      </x:c>
      <x:c r="C248" s="8" t="n">
        <x:v>108</x:v>
      </x:c>
      <x:c r="D248" s="8" t="n">
        <x:v>106</x:v>
      </x:c>
      <x:c r="E248" s="9" t="n">
        <x:v>16591.05</x:v>
      </x:c>
      <x:c r="F248" s="9" t="n">
        <x:v>2686.64</x:v>
      </x:c>
      <x:c r="G248" s="8" t="n">
        <x:v>106</x:v>
      </x:c>
      <x:c r="H248" s="8" t="n">
        <x:v>2</x:v>
      </x:c>
      <x:c r="I248" s="8" t="n">
        <x:v>1507.801875</x:v>
      </x:c>
      <x:c r="J248" s="8" t="n">
        <x:v>105</x:v>
      </x:c>
      <x:c r="K248" s="8" t="n">
        <x:v>6</x:v>
      </x:c>
      <x:c r="L248" s="2"/>
      <x:c r="M248" s="2"/>
      <x:c r="N248" s="2"/>
    </x:row>
    <x:row r="249" ht="22" customHeight="1">
      <x:c r="A249" s="4" t="d">
        <x:v>2017-10-01T00:00:00.000Z</x:v>
      </x:c>
      <x:c r="B249" s="2" t="str">
        <x:v>MA</x:v>
      </x:c>
      <x:c r="C249" s="8" t="n">
        <x:v>48</x:v>
      </x:c>
      <x:c r="D249" s="8" t="n">
        <x:v>48</x:v>
      </x:c>
      <x:c r="E249" s="9" t="n">
        <x:v>10335.8</x:v>
      </x:c>
      <x:c r="F249" s="9" t="n">
        <x:v>2191.18</x:v>
      </x:c>
      <x:c r="G249" s="8" t="n">
        <x:v>48</x:v>
      </x:c>
      <x:c r="H249" s="8" t="n">
        <x:v>12</x:v>
      </x:c>
      <x:c r="I249" s="8" t="n">
        <x:v>1020.242962963</x:v>
      </x:c>
      <x:c r="J249" s="8" t="n">
        <x:v>48</x:v>
      </x:c>
      <x:c r="K249" s="8" t="n">
        <x:v>11</x:v>
      </x:c>
      <x:c r="L249" s="2"/>
      <x:c r="M249" s="2"/>
      <x:c r="N249" s="2"/>
    </x:row>
    <x:row r="250" ht="22" customHeight="1">
      <x:c r="A250" s="4" t="d">
        <x:v>2017-10-01T00:00:00.000Z</x:v>
      </x:c>
      <x:c r="B250" s="2" t="str">
        <x:v>MG</x:v>
      </x:c>
      <x:c r="C250" s="8" t="n">
        <x:v>560</x:v>
      </x:c>
      <x:c r="D250" s="8" t="n">
        <x:v>542</x:v>
      </x:c>
      <x:c r="E250" s="9" t="n">
        <x:v>80710.11</x:v>
      </x:c>
      <x:c r="F250" s="9" t="n">
        <x:v>12339.06</x:v>
      </x:c>
      <x:c r="G250" s="8" t="n">
        <x:v>542</x:v>
      </x:c>
      <x:c r="H250" s="8" t="n">
        <x:v>5</x:v>
      </x:c>
      <x:c r="I250" s="8" t="n">
        <x:v>5651.814525463</x:v>
      </x:c>
      <x:c r="J250" s="8" t="n">
        <x:v>539</x:v>
      </x:c>
      <x:c r="K250" s="8" t="n">
        <x:v>49</x:v>
      </x:c>
      <x:c r="L250" s="2"/>
      <x:c r="M250" s="2"/>
      <x:c r="N250" s="2"/>
    </x:row>
    <x:row r="251" ht="22" customHeight="1">
      <x:c r="A251" s="4" t="d">
        <x:v>2017-10-01T00:00:00.000Z</x:v>
      </x:c>
      <x:c r="B251" s="2" t="str">
        <x:v>MS</x:v>
      </x:c>
      <x:c r="C251" s="8" t="n">
        <x:v>34</x:v>
      </x:c>
      <x:c r="D251" s="8" t="n">
        <x:v>33</x:v>
      </x:c>
      <x:c r="E251" s="9" t="n">
        <x:v>6267.84</x:v>
      </x:c>
      <x:c r="F251" s="9" t="n">
        <x:v>1033.93</x:v>
      </x:c>
      <x:c r="G251" s="8" t="n">
        <x:v>33</x:v>
      </x:c>
      <x:c r="H251" s="8" t="n">
        <x:v>2</x:v>
      </x:c>
      <x:c r="I251" s="8" t="n">
        <x:v>452.4369444444</x:v>
      </x:c>
      <x:c r="J251" s="8" t="n">
        <x:v>33</x:v>
      </x:c>
      <x:c r="K251" s="8" t="n">
        <x:v>2</x:v>
      </x:c>
      <x:c r="L251" s="2"/>
      <x:c r="M251" s="2"/>
      <x:c r="N251" s="2"/>
    </x:row>
    <x:row r="252" ht="22" customHeight="1">
      <x:c r="A252" s="4" t="d">
        <x:v>2017-10-01T00:00:00.000Z</x:v>
      </x:c>
      <x:c r="B252" s="2" t="str">
        <x:v>MT</x:v>
      </x:c>
      <x:c r="C252" s="8" t="n">
        <x:v>52</x:v>
      </x:c>
      <x:c r="D252" s="8" t="n">
        <x:v>50</x:v>
      </x:c>
      <x:c r="E252" s="9" t="n">
        <x:v>10749.01</x:v>
      </x:c>
      <x:c r="F252" s="9" t="n">
        <x:v>2143.87</x:v>
      </x:c>
      <x:c r="G252" s="8" t="n">
        <x:v>50</x:v>
      </x:c>
      <x:c r="H252" s="8" t="n">
        <x:v>1</x:v>
      </x:c>
      <x:c r="I252" s="8" t="n">
        <x:v>812.0695601852</x:v>
      </x:c>
      <x:c r="J252" s="8" t="n">
        <x:v>50</x:v>
      </x:c>
      <x:c r="K252" s="8" t="n">
        <x:v>4</x:v>
      </x:c>
      <x:c r="L252" s="2"/>
      <x:c r="M252" s="2"/>
      <x:c r="N252" s="2"/>
    </x:row>
    <x:row r="253" ht="22" customHeight="1">
      <x:c r="A253" s="4" t="d">
        <x:v>2017-10-01T00:00:00.000Z</x:v>
      </x:c>
      <x:c r="B253" s="2" t="str">
        <x:v>PA</x:v>
      </x:c>
      <x:c r="C253" s="8" t="n">
        <x:v>54</x:v>
      </x:c>
      <x:c r="D253" s="8" t="n">
        <x:v>52</x:v>
      </x:c>
      <x:c r="E253" s="9" t="n">
        <x:v>6722.58</x:v>
      </x:c>
      <x:c r="F253" s="9" t="n">
        <x:v>1999.23</x:v>
      </x:c>
      <x:c r="G253" s="8" t="n">
        <x:v>52</x:v>
      </x:c>
      <x:c r="H253" s="8" t="n">
        <x:v>3</x:v>
      </x:c>
      <x:c r="I253" s="8" t="n">
        <x:v>1294.9128587963</x:v>
      </x:c>
      <x:c r="J253" s="8" t="n">
        <x:v>52</x:v>
      </x:c>
      <x:c r="K253" s="8" t="n">
        <x:v>6</x:v>
      </x:c>
      <x:c r="L253" s="2"/>
      <x:c r="M253" s="2"/>
      <x:c r="N253" s="2"/>
    </x:row>
    <x:row r="254" ht="22" customHeight="1">
      <x:c r="A254" s="4" t="d">
        <x:v>2017-10-01T00:00:00.000Z</x:v>
      </x:c>
      <x:c r="B254" s="2" t="str">
        <x:v>PB</x:v>
      </x:c>
      <x:c r="C254" s="8" t="n">
        <x:v>30</x:v>
      </x:c>
      <x:c r="D254" s="8" t="n">
        <x:v>28</x:v>
      </x:c>
      <x:c r="E254" s="9" t="n">
        <x:v>10236.5</x:v>
      </x:c>
      <x:c r="F254" s="9" t="n">
        <x:v>1278.99</x:v>
      </x:c>
      <x:c r="G254" s="8" t="n">
        <x:v>28</x:v>
      </x:c>
      <x:c r="H254" s="8" t="n">
        <x:v>0</x:v>
      </x:c>
      <x:c r="I254" s="8" t="n">
        <x:v>541.6077546296</x:v>
      </x:c>
      <x:c r="J254" s="8" t="n">
        <x:v>27</x:v>
      </x:c>
      <x:c r="K254" s="8" t="n">
        <x:v>2</x:v>
      </x:c>
      <x:c r="L254" s="2"/>
      <x:c r="M254" s="2"/>
      <x:c r="N254" s="2"/>
    </x:row>
    <x:row r="255" ht="22" customHeight="1">
      <x:c r="A255" s="4" t="d">
        <x:v>2017-10-01T00:00:00.000Z</x:v>
      </x:c>
      <x:c r="B255" s="2" t="str">
        <x:v>PE</x:v>
      </x:c>
      <x:c r="C255" s="8" t="n">
        <x:v>80</x:v>
      </x:c>
      <x:c r="D255" s="8" t="n">
        <x:v>77</x:v>
      </x:c>
      <x:c r="E255" s="9" t="n">
        <x:v>17120.19</x:v>
      </x:c>
      <x:c r="F255" s="9" t="n">
        <x:v>2977.06</x:v>
      </x:c>
      <x:c r="G255" s="8" t="n">
        <x:v>77</x:v>
      </x:c>
      <x:c r="H255" s="8" t="n">
        <x:v>5</x:v>
      </x:c>
      <x:c r="I255" s="8" t="n">
        <x:v>1366.6372685185</x:v>
      </x:c>
      <x:c r="J255" s="8" t="n">
        <x:v>76</x:v>
      </x:c>
      <x:c r="K255" s="8" t="n">
        <x:v>6</x:v>
      </x:c>
      <x:c r="L255" s="2"/>
      <x:c r="M255" s="2"/>
      <x:c r="N255" s="2"/>
    </x:row>
    <x:row r="256" ht="22" customHeight="1">
      <x:c r="A256" s="4" t="d">
        <x:v>2017-10-01T00:00:00.000Z</x:v>
      </x:c>
      <x:c r="B256" s="2" t="str">
        <x:v>PI</x:v>
      </x:c>
      <x:c r="C256" s="8" t="n">
        <x:v>23</x:v>
      </x:c>
      <x:c r="D256" s="8" t="n">
        <x:v>23</x:v>
      </x:c>
      <x:c r="E256" s="9" t="n">
        <x:v>4047.04</x:v>
      </x:c>
      <x:c r="F256" s="9" t="n">
        <x:v>908</x:v>
      </x:c>
      <x:c r="G256" s="8" t="n">
        <x:v>23</x:v>
      </x:c>
      <x:c r="H256" s="8" t="n">
        <x:v>0</x:v>
      </x:c>
      <x:c r="I256" s="8" t="n">
        <x:v>368.5208912037</x:v>
      </x:c>
      <x:c r="J256" s="8" t="n">
        <x:v>23</x:v>
      </x:c>
      <x:c r="K256" s="8" t="n">
        <x:v>3</x:v>
      </x:c>
      <x:c r="L256" s="2"/>
      <x:c r="M256" s="2"/>
      <x:c r="N256" s="2"/>
    </x:row>
    <x:row r="257" ht="22" customHeight="1">
      <x:c r="A257" s="4" t="d">
        <x:v>2017-10-01T00:00:00.000Z</x:v>
      </x:c>
      <x:c r="B257" s="2" t="str">
        <x:v>PR</x:v>
      </x:c>
      <x:c r="C257" s="8" t="n">
        <x:v>206</x:v>
      </x:c>
      <x:c r="D257" s="8" t="n">
        <x:v>198</x:v>
      </x:c>
      <x:c r="E257" s="9" t="n">
        <x:v>32639.41</x:v>
      </x:c>
      <x:c r="F257" s="9" t="n">
        <x:v>4765.19</x:v>
      </x:c>
      <x:c r="G257" s="8" t="n">
        <x:v>198</x:v>
      </x:c>
      <x:c r="H257" s="8" t="n">
        <x:v>6</x:v>
      </x:c>
      <x:c r="I257" s="8" t="n">
        <x:v>2535.287662037</x:v>
      </x:c>
      <x:c r="J257" s="8" t="n">
        <x:v>197</x:v>
      </x:c>
      <x:c r="K257" s="8" t="n">
        <x:v>22</x:v>
      </x:c>
      <x:c r="L257" s="2"/>
      <x:c r="M257" s="2"/>
      <x:c r="N257" s="2"/>
    </x:row>
    <x:row r="258" ht="22" customHeight="1">
      <x:c r="A258" s="4" t="d">
        <x:v>2017-10-01T00:00:00.000Z</x:v>
      </x:c>
      <x:c r="B258" s="2" t="str">
        <x:v>RJ</x:v>
      </x:c>
      <x:c r="C258" s="8" t="n">
        <x:v>668</x:v>
      </x:c>
      <x:c r="D258" s="8" t="n">
        <x:v>654</x:v>
      </x:c>
      <x:c r="E258" s="9" t="n">
        <x:v>95492.24</x:v>
      </x:c>
      <x:c r="F258" s="9" t="n">
        <x:v>15085.72</x:v>
      </x:c>
      <x:c r="G258" s="8" t="n">
        <x:v>654</x:v>
      </x:c>
      <x:c r="H258" s="8" t="n">
        <x:v>45</x:v>
      </x:c>
      <x:c r="I258" s="8" t="n">
        <x:v>8559.9397453704</x:v>
      </x:c>
      <x:c r="J258" s="8" t="n">
        <x:v>645</x:v>
      </x:c>
      <x:c r="K258" s="8" t="n">
        <x:v>82</x:v>
      </x:c>
      <x:c r="L258" s="2"/>
      <x:c r="M258" s="2"/>
      <x:c r="N258" s="2"/>
    </x:row>
    <x:row r="259" ht="22" customHeight="1">
      <x:c r="A259" s="4" t="d">
        <x:v>2017-10-01T00:00:00.000Z</x:v>
      </x:c>
      <x:c r="B259" s="2" t="str">
        <x:v>RN</x:v>
      </x:c>
      <x:c r="C259" s="8" t="n">
        <x:v>23</x:v>
      </x:c>
      <x:c r="D259" s="8" t="n">
        <x:v>23</x:v>
      </x:c>
      <x:c r="E259" s="9" t="n">
        <x:v>4202.47</x:v>
      </x:c>
      <x:c r="F259" s="9" t="n">
        <x:v>1149.55</x:v>
      </x:c>
      <x:c r="G259" s="8" t="n">
        <x:v>23</x:v>
      </x:c>
      <x:c r="H259" s="8" t="n">
        <x:v>1</x:v>
      </x:c>
      <x:c r="I259" s="8" t="n">
        <x:v>423.1307523148</x:v>
      </x:c>
      <x:c r="J259" s="8" t="n">
        <x:v>23</x:v>
      </x:c>
      <x:c r="K259" s="8" t="n">
        <x:v>2</x:v>
      </x:c>
      <x:c r="L259" s="2"/>
      <x:c r="M259" s="2"/>
      <x:c r="N259" s="2"/>
    </x:row>
    <x:row r="260" ht="22" customHeight="1">
      <x:c r="A260" s="4" t="d">
        <x:v>2017-10-01T00:00:00.000Z</x:v>
      </x:c>
      <x:c r="B260" s="2" t="str">
        <x:v>RO</x:v>
      </x:c>
      <x:c r="C260" s="8" t="n">
        <x:v>14</x:v>
      </x:c>
      <x:c r="D260" s="8" t="n">
        <x:v>13</x:v>
      </x:c>
      <x:c r="E260" s="9" t="n">
        <x:v>1609.97</x:v>
      </x:c>
      <x:c r="F260" s="9" t="n">
        <x:v>681.72</x:v>
      </x:c>
      <x:c r="G260" s="8" t="n">
        <x:v>13</x:v>
      </x:c>
      <x:c r="H260" s="8" t="n">
        <x:v>0</x:v>
      </x:c>
      <x:c r="I260" s="8" t="n">
        <x:v>217.660625</x:v>
      </x:c>
      <x:c r="J260" s="8" t="n">
        <x:v>13</x:v>
      </x:c>
      <x:c r="K260" s="8" t="n">
        <x:v>0</x:v>
      </x:c>
      <x:c r="L260" s="2"/>
      <x:c r="M260" s="2"/>
      <x:c r="N260" s="2"/>
    </x:row>
    <x:row r="261" ht="22" customHeight="1">
      <x:c r="A261" s="4" t="d">
        <x:v>2017-10-01T00:00:00.000Z</x:v>
      </x:c>
      <x:c r="B261" s="2" t="str">
        <x:v>RR</x:v>
      </x:c>
      <x:c r="C261" s="8" t="n">
        <x:v>3</x:v>
      </x:c>
      <x:c r="D261" s="8" t="n">
        <x:v>3</x:v>
      </x:c>
      <x:c r="E261" s="9" t="n">
        <x:v>388.98</x:v>
      </x:c>
      <x:c r="F261" s="9" t="n">
        <x:v>136.17</x:v>
      </x:c>
      <x:c r="G261" s="8" t="n">
        <x:v>3</x:v>
      </x:c>
      <x:c r="H261" s="8" t="n">
        <x:v>1</x:v>
      </x:c>
      <x:c r="I261" s="8" t="n">
        <x:v>100.1766782407</x:v>
      </x:c>
      <x:c r="J261" s="8" t="n">
        <x:v>3</x:v>
      </x:c>
      <x:c r="K261" s="8" t="n">
        <x:v>1</x:v>
      </x:c>
      <x:c r="L261" s="2"/>
      <x:c r="M261" s="2"/>
      <x:c r="N261" s="2"/>
    </x:row>
    <x:row r="262" ht="22" customHeight="1">
      <x:c r="A262" s="4" t="d">
        <x:v>2017-10-01T00:00:00.000Z</x:v>
      </x:c>
      <x:c r="B262" s="2" t="str">
        <x:v>RS</x:v>
      </x:c>
      <x:c r="C262" s="8" t="n">
        <x:v>252</x:v>
      </x:c>
      <x:c r="D262" s="8" t="n">
        <x:v>244</x:v>
      </x:c>
      <x:c r="E262" s="9" t="n">
        <x:v>37126.33</x:v>
      </x:c>
      <x:c r="F262" s="9" t="n">
        <x:v>6046.74</x:v>
      </x:c>
      <x:c r="G262" s="8" t="n">
        <x:v>244</x:v>
      </x:c>
      <x:c r="H262" s="8" t="n">
        <x:v>5</x:v>
      </x:c>
      <x:c r="I262" s="8" t="n">
        <x:v>3523.9110185185</x:v>
      </x:c>
      <x:c r="J262" s="8" t="n">
        <x:v>242</x:v>
      </x:c>
      <x:c r="K262" s="8" t="n">
        <x:v>28</x:v>
      </x:c>
      <x:c r="L262" s="2"/>
      <x:c r="M262" s="2"/>
      <x:c r="N262" s="2"/>
    </x:row>
    <x:row r="263" ht="22" customHeight="1">
      <x:c r="A263" s="4" t="d">
        <x:v>2017-10-01T00:00:00.000Z</x:v>
      </x:c>
      <x:c r="B263" s="2" t="str">
        <x:v>SC</x:v>
      </x:c>
      <x:c r="C263" s="8" t="n">
        <x:v>178</x:v>
      </x:c>
      <x:c r="D263" s="8" t="n">
        <x:v>174</x:v>
      </x:c>
      <x:c r="E263" s="9" t="n">
        <x:v>21022.55</x:v>
      </x:c>
      <x:c r="F263" s="9" t="n">
        <x:v>3751.21</x:v>
      </x:c>
      <x:c r="G263" s="8" t="n">
        <x:v>174</x:v>
      </x:c>
      <x:c r="H263" s="8" t="n">
        <x:v>8</x:v>
      </x:c>
      <x:c r="I263" s="8" t="n">
        <x:v>2250.4438425926</x:v>
      </x:c>
      <x:c r="J263" s="8" t="n">
        <x:v>173</x:v>
      </x:c>
      <x:c r="K263" s="8" t="n">
        <x:v>16</x:v>
      </x:c>
      <x:c r="L263" s="2"/>
      <x:c r="M263" s="2"/>
      <x:c r="N263" s="2"/>
    </x:row>
    <x:row r="264" ht="22" customHeight="1">
      <x:c r="A264" s="4" t="d">
        <x:v>2017-10-01T00:00:00.000Z</x:v>
      </x:c>
      <x:c r="B264" s="2" t="str">
        <x:v>SE</x:v>
      </x:c>
      <x:c r="C264" s="8" t="n">
        <x:v>22</x:v>
      </x:c>
      <x:c r="D264" s="8" t="n">
        <x:v>22</x:v>
      </x:c>
      <x:c r="E264" s="9" t="n">
        <x:v>4294.21</x:v>
      </x:c>
      <x:c r="F264" s="9" t="n">
        <x:v>829.08</x:v>
      </x:c>
      <x:c r="G264" s="8" t="n">
        <x:v>22</x:v>
      </x:c>
      <x:c r="H264" s="8" t="n">
        <x:v>6</x:v>
      </x:c>
      <x:c r="I264" s="8" t="n">
        <x:v>517.9605787037</x:v>
      </x:c>
      <x:c r="J264" s="8" t="n">
        <x:v>22</x:v>
      </x:c>
      <x:c r="K264" s="8" t="n">
        <x:v>8</x:v>
      </x:c>
      <x:c r="L264" s="2"/>
      <x:c r="M264" s="2"/>
      <x:c r="N264" s="2"/>
    </x:row>
    <x:row r="265" ht="22" customHeight="1">
      <x:c r="A265" s="4" t="d">
        <x:v>2017-10-01T00:00:00.000Z</x:v>
      </x:c>
      <x:c r="B265" s="2" t="str">
        <x:v>SP</x:v>
      </x:c>
      <x:c r="C265" s="8" t="n">
        <x:v>1793</x:v>
      </x:c>
      <x:c r="D265" s="8" t="n">
        <x:v>1723</x:v>
      </x:c>
      <x:c r="E265" s="9" t="n">
        <x:v>219804.08</x:v>
      </x:c>
      <x:c r="F265" s="9" t="n">
        <x:v>30096.72</x:v>
      </x:c>
      <x:c r="G265" s="8" t="n">
        <x:v>1723</x:v>
      </x:c>
      <x:c r="H265" s="8" t="n">
        <x:v>56</x:v>
      </x:c>
      <x:c r="I265" s="8" t="n">
        <x:v>14295.7609953704</x:v>
      </x:c>
      <x:c r="J265" s="8" t="n">
        <x:v>1712</x:v>
      </x:c>
      <x:c r="K265" s="8" t="n">
        <x:v>179</x:v>
      </x:c>
      <x:c r="L265" s="2"/>
      <x:c r="M265" s="2"/>
      <x:c r="N265" s="2"/>
    </x:row>
    <x:row r="266" ht="22" customHeight="1">
      <x:c r="A266" s="4" t="d">
        <x:v>2017-10-01T00:00:00.000Z</x:v>
      </x:c>
      <x:c r="B266" s="2" t="str">
        <x:v>TO</x:v>
      </x:c>
      <x:c r="C266" s="8" t="n">
        <x:v>13</x:v>
      </x:c>
      <x:c r="D266" s="8" t="n">
        <x:v>13</x:v>
      </x:c>
      <x:c r="E266" s="9" t="n">
        <x:v>2808.85</x:v>
      </x:c>
      <x:c r="F266" s="9" t="n">
        <x:v>429.22</x:v>
      </x:c>
      <x:c r="G266" s="8" t="n">
        <x:v>13</x:v>
      </x:c>
      <x:c r="H266" s="8" t="n">
        <x:v>0</x:v>
      </x:c>
      <x:c r="I266" s="8" t="n">
        <x:v>180.6975925926</x:v>
      </x:c>
      <x:c r="J266" s="8" t="n">
        <x:v>13</x:v>
      </x:c>
      <x:c r="K266" s="8" t="n">
        <x:v>3</x:v>
      </x:c>
      <x:c r="L266" s="2"/>
      <x:c r="M266" s="2"/>
      <x:c r="N266" s="2"/>
    </x:row>
    <x:row r="267" ht="22" customHeight="1">
      <x:c r="A267" s="4" t="d">
        <x:v>2017-11-01T00:00:00.000Z</x:v>
      </x:c>
      <x:c r="B267" s="2" t="str">
        <x:v>AC</x:v>
      </x:c>
      <x:c r="C267" s="8" t="n">
        <x:v>5</x:v>
      </x:c>
      <x:c r="D267" s="8" t="n">
        <x:v>5</x:v>
      </x:c>
      <x:c r="E267" s="9" t="n">
        <x:v>649.92</x:v>
      </x:c>
      <x:c r="F267" s="9" t="n">
        <x:v>295.24</x:v>
      </x:c>
      <x:c r="G267" s="8" t="n">
        <x:v>5</x:v>
      </x:c>
      <x:c r="H267" s="8" t="n">
        <x:v>1</x:v>
      </x:c>
      <x:c r="I267" s="8" t="n">
        <x:v>120.3799768519</x:v>
      </x:c>
      <x:c r="J267" s="8" t="n">
        <x:v>5</x:v>
      </x:c>
      <x:c r="K267" s="8" t="n">
        <x:v>1</x:v>
      </x:c>
      <x:c r="L267" s="2"/>
      <x:c r="M267" s="2"/>
      <x:c r="N267" s="2"/>
    </x:row>
    <x:row r="268" ht="22" customHeight="1">
      <x:c r="A268" s="4" t="d">
        <x:v>2017-11-01T00:00:00.000Z</x:v>
      </x:c>
      <x:c r="B268" s="2" t="str">
        <x:v>AL</x:v>
      </x:c>
      <x:c r="C268" s="8" t="n">
        <x:v>26</x:v>
      </x:c>
      <x:c r="D268" s="8" t="n">
        <x:v>26</x:v>
      </x:c>
      <x:c r="E268" s="9" t="n">
        <x:v>5936.26</x:v>
      </x:c>
      <x:c r="F268" s="9" t="n">
        <x:v>1505.21</x:v>
      </x:c>
      <x:c r="G268" s="8" t="n">
        <x:v>26</x:v>
      </x:c>
      <x:c r="H268" s="8" t="n">
        <x:v>5</x:v>
      </x:c>
      <x:c r="I268" s="8" t="n">
        <x:v>602.5609490741</x:v>
      </x:c>
      <x:c r="J268" s="8" t="n">
        <x:v>26</x:v>
      </x:c>
      <x:c r="K268" s="8" t="n">
        <x:v>4</x:v>
      </x:c>
      <x:c r="L268" s="2"/>
      <x:c r="M268" s="2"/>
      <x:c r="N268" s="2"/>
    </x:row>
    <x:row r="269" ht="22" customHeight="1">
      <x:c r="A269" s="4" t="d">
        <x:v>2017-11-01T00:00:00.000Z</x:v>
      </x:c>
      <x:c r="B269" s="2" t="str">
        <x:v>AM</x:v>
      </x:c>
      <x:c r="C269" s="8" t="n">
        <x:v>10</x:v>
      </x:c>
      <x:c r="D269" s="8" t="n">
        <x:v>10</x:v>
      </x:c>
      <x:c r="E269" s="9" t="n">
        <x:v>2635.25</x:v>
      </x:c>
      <x:c r="F269" s="9" t="n">
        <x:v>365.76</x:v>
      </x:c>
      <x:c r="G269" s="8" t="n">
        <x:v>10</x:v>
      </x:c>
      <x:c r="H269" s="8" t="n">
        <x:v>0</x:v>
      </x:c>
      <x:c r="I269" s="8" t="n">
        <x:v>342.2476157407</x:v>
      </x:c>
      <x:c r="J269" s="8" t="n">
        <x:v>10</x:v>
      </x:c>
      <x:c r="K269" s="8" t="n">
        <x:v>0</x:v>
      </x:c>
      <x:c r="L269" s="2"/>
      <x:c r="M269" s="2"/>
      <x:c r="N269" s="2"/>
    </x:row>
    <x:row r="270" ht="22" customHeight="1">
      <x:c r="A270" s="4" t="d">
        <x:v>2017-11-01T00:00:00.000Z</x:v>
      </x:c>
      <x:c r="B270" s="2" t="str">
        <x:v>AP</x:v>
      </x:c>
      <x:c r="C270" s="8" t="n">
        <x:v>4</x:v>
      </x:c>
      <x:c r="D270" s="8" t="n">
        <x:v>4</x:v>
      </x:c>
      <x:c r="E270" s="9" t="n">
        <x:v>511.88</x:v>
      </x:c>
      <x:c r="F270" s="9" t="n">
        <x:v>177.29</x:v>
      </x:c>
      <x:c r="G270" s="8" t="n">
        <x:v>4</x:v>
      </x:c>
      <x:c r="H270" s="8" t="n">
        <x:v>0</x:v>
      </x:c>
      <x:c r="I270" s="8" t="n">
        <x:v>111.8026388889</x:v>
      </x:c>
      <x:c r="J270" s="8" t="n">
        <x:v>4</x:v>
      </x:c>
      <x:c r="K270" s="8" t="n">
        <x:v>0</x:v>
      </x:c>
      <x:c r="L270" s="2"/>
      <x:c r="M270" s="2"/>
      <x:c r="N270" s="2"/>
    </x:row>
    <x:row r="271" ht="22" customHeight="1">
      <x:c r="A271" s="4" t="d">
        <x:v>2017-11-01T00:00:00.000Z</x:v>
      </x:c>
      <x:c r="B271" s="2" t="str">
        <x:v>BA</x:v>
      </x:c>
      <x:c r="C271" s="8" t="n">
        <x:v>250</x:v>
      </x:c>
      <x:c r="D271" s="8" t="n">
        <x:v>243</x:v>
      </x:c>
      <x:c r="E271" s="9" t="n">
        <x:v>28819.04</x:v>
      </x:c>
      <x:c r="F271" s="9" t="n">
        <x:v>6630.51</x:v>
      </x:c>
      <x:c r="G271" s="8" t="n">
        <x:v>243</x:v>
      </x:c>
      <x:c r="H271" s="8" t="n">
        <x:v>36</x:v>
      </x:c>
      <x:c r="I271" s="8" t="n">
        <x:v>4947.3880439815</x:v>
      </x:c>
      <x:c r="J271" s="8" t="n">
        <x:v>242</x:v>
      </x:c>
      <x:c r="K271" s="8" t="n">
        <x:v>46</x:v>
      </x:c>
      <x:c r="L271" s="2"/>
      <x:c r="M271" s="2"/>
      <x:c r="N271" s="2"/>
    </x:row>
    <x:row r="272" ht="22" customHeight="1">
      <x:c r="A272" s="4" t="d">
        <x:v>2017-11-01T00:00:00.000Z</x:v>
      </x:c>
      <x:c r="B272" s="2" t="str">
        <x:v>CE</x:v>
      </x:c>
      <x:c r="C272" s="8" t="n">
        <x:v>108</x:v>
      </x:c>
      <x:c r="D272" s="8" t="n">
        <x:v>103</x:v>
      </x:c>
      <x:c r="E272" s="9" t="n">
        <x:v>18353.59</x:v>
      </x:c>
      <x:c r="F272" s="9" t="n">
        <x:v>3774.78</x:v>
      </x:c>
      <x:c r="G272" s="8" t="n">
        <x:v>103</x:v>
      </x:c>
      <x:c r="H272" s="8" t="n">
        <x:v>27</x:v>
      </x:c>
      <x:c r="I272" s="8" t="n">
        <x:v>2577.4088310185</x:v>
      </x:c>
      <x:c r="J272" s="8" t="n">
        <x:v>103</x:v>
      </x:c>
      <x:c r="K272" s="8" t="n">
        <x:v>30</x:v>
      </x:c>
      <x:c r="L272" s="2"/>
      <x:c r="M272" s="2"/>
      <x:c r="N272" s="2"/>
    </x:row>
    <x:row r="273" ht="22" customHeight="1">
      <x:c r="A273" s="4" t="d">
        <x:v>2017-11-01T00:00:00.000Z</x:v>
      </x:c>
      <x:c r="B273" s="2" t="str">
        <x:v>DF</x:v>
      </x:c>
      <x:c r="C273" s="8" t="n">
        <x:v>168</x:v>
      </x:c>
      <x:c r="D273" s="8" t="n">
        <x:v>157</x:v>
      </x:c>
      <x:c r="E273" s="9" t="n">
        <x:v>26406.16</x:v>
      </x:c>
      <x:c r="F273" s="9" t="n">
        <x:v>3789.87</x:v>
      </x:c>
      <x:c r="G273" s="8" t="n">
        <x:v>157</x:v>
      </x:c>
      <x:c r="H273" s="8" t="n">
        <x:v>18</x:v>
      </x:c>
      <x:c r="I273" s="8" t="n">
        <x:v>2372.6392361111</x:v>
      </x:c>
      <x:c r="J273" s="8" t="n">
        <x:v>157</x:v>
      </x:c>
      <x:c r="K273" s="8" t="n">
        <x:v>30</x:v>
      </x:c>
      <x:c r="L273" s="2"/>
      <x:c r="M273" s="2"/>
      <x:c r="N273" s="2"/>
    </x:row>
    <x:row r="274" ht="22" customHeight="1">
      <x:c r="A274" s="4" t="d">
        <x:v>2017-11-01T00:00:00.000Z</x:v>
      </x:c>
      <x:c r="B274" s="2" t="str">
        <x:v>ES</x:v>
      </x:c>
      <x:c r="C274" s="8" t="n">
        <x:v>170</x:v>
      </x:c>
      <x:c r="D274" s="8" t="n">
        <x:v>168</x:v>
      </x:c>
      <x:c r="E274" s="9" t="n">
        <x:v>23858.76</x:v>
      </x:c>
      <x:c r="F274" s="9" t="n">
        <x:v>4544.07</x:v>
      </x:c>
      <x:c r="G274" s="8" t="n">
        <x:v>168</x:v>
      </x:c>
      <x:c r="H274" s="8" t="n">
        <x:v>34</x:v>
      </x:c>
      <x:c r="I274" s="8" t="n">
        <x:v>2918.3992592593</x:v>
      </x:c>
      <x:c r="J274" s="8" t="n">
        <x:v>165</x:v>
      </x:c>
      <x:c r="K274" s="8" t="n">
        <x:v>36</x:v>
      </x:c>
      <x:c r="L274" s="2"/>
      <x:c r="M274" s="2"/>
      <x:c r="N274" s="2"/>
    </x:row>
    <x:row r="275" ht="22" customHeight="1">
      <x:c r="A275" s="4" t="d">
        <x:v>2017-11-01T00:00:00.000Z</x:v>
      </x:c>
      <x:c r="B275" s="2" t="str">
        <x:v>GO</x:v>
      </x:c>
      <x:c r="C275" s="8" t="n">
        <x:v>157</x:v>
      </x:c>
      <x:c r="D275" s="8" t="n">
        <x:v>153</x:v>
      </x:c>
      <x:c r="E275" s="9" t="n">
        <x:v>20726.21</x:v>
      </x:c>
      <x:c r="F275" s="9" t="n">
        <x:v>3937.35</x:v>
      </x:c>
      <x:c r="G275" s="8" t="n">
        <x:v>153</x:v>
      </x:c>
      <x:c r="H275" s="8" t="n">
        <x:v>20</x:v>
      </x:c>
      <x:c r="I275" s="8" t="n">
        <x:v>2838.0104398148</x:v>
      </x:c>
      <x:c r="J275" s="8" t="n">
        <x:v>149</x:v>
      </x:c>
      <x:c r="K275" s="8" t="n">
        <x:v>25</x:v>
      </x:c>
      <x:c r="L275" s="2"/>
      <x:c r="M275" s="2"/>
      <x:c r="N275" s="2"/>
    </x:row>
    <x:row r="276" ht="22" customHeight="1">
      <x:c r="A276" s="4" t="d">
        <x:v>2017-11-01T00:00:00.000Z</x:v>
      </x:c>
      <x:c r="B276" s="2" t="str">
        <x:v>MA</x:v>
      </x:c>
      <x:c r="C276" s="8" t="n">
        <x:v>56</x:v>
      </x:c>
      <x:c r="D276" s="8" t="n">
        <x:v>53</x:v>
      </x:c>
      <x:c r="E276" s="9" t="n">
        <x:v>9838.59</x:v>
      </x:c>
      <x:c r="F276" s="9" t="n">
        <x:v>2395.81</x:v>
      </x:c>
      <x:c r="G276" s="8" t="n">
        <x:v>53</x:v>
      </x:c>
      <x:c r="H276" s="8" t="n">
        <x:v>28</x:v>
      </x:c>
      <x:c r="I276" s="8" t="n">
        <x:v>1611.2646296296</x:v>
      </x:c>
      <x:c r="J276" s="8" t="n">
        <x:v>52</x:v>
      </x:c>
      <x:c r="K276" s="8" t="n">
        <x:v>20</x:v>
      </x:c>
      <x:c r="L276" s="2"/>
      <x:c r="M276" s="2"/>
      <x:c r="N276" s="2"/>
    </x:row>
    <x:row r="277" ht="22" customHeight="1">
      <x:c r="A277" s="4" t="d">
        <x:v>2017-11-01T00:00:00.000Z</x:v>
      </x:c>
      <x:c r="B277" s="2" t="str">
        <x:v>MG</x:v>
      </x:c>
      <x:c r="C277" s="8" t="n">
        <x:v>943</x:v>
      </x:c>
      <x:c r="D277" s="8" t="n">
        <x:v>922</x:v>
      </x:c>
      <x:c r="E277" s="9" t="n">
        <x:v>132686.09</x:v>
      </x:c>
      <x:c r="F277" s="9" t="n">
        <x:v>21443.29</x:v>
      </x:c>
      <x:c r="G277" s="8" t="n">
        <x:v>922</x:v>
      </x:c>
      <x:c r="H277" s="8" t="n">
        <x:v>66</x:v>
      </x:c>
      <x:c r="I277" s="8" t="n">
        <x:v>13244.8277546296</x:v>
      </x:c>
      <x:c r="J277" s="8" t="n">
        <x:v>915</x:v>
      </x:c>
      <x:c r="K277" s="8" t="n">
        <x:v>104</x:v>
      </x:c>
      <x:c r="L277" s="2"/>
      <x:c r="M277" s="2"/>
      <x:c r="N277" s="2"/>
    </x:row>
    <x:row r="278" ht="22" customHeight="1">
      <x:c r="A278" s="4" t="d">
        <x:v>2017-11-01T00:00:00.000Z</x:v>
      </x:c>
      <x:c r="B278" s="2" t="str">
        <x:v>MS</x:v>
      </x:c>
      <x:c r="C278" s="8" t="n">
        <x:v>46</x:v>
      </x:c>
      <x:c r="D278" s="8" t="n">
        <x:v>44</x:v>
      </x:c>
      <x:c r="E278" s="9" t="n">
        <x:v>5850.88</x:v>
      </x:c>
      <x:c r="F278" s="9" t="n">
        <x:v>1131.58</x:v>
      </x:c>
      <x:c r="G278" s="8" t="n">
        <x:v>44</x:v>
      </x:c>
      <x:c r="H278" s="8" t="n">
        <x:v>4</x:v>
      </x:c>
      <x:c r="I278" s="8" t="n">
        <x:v>710.1282291667</x:v>
      </x:c>
      <x:c r="J278" s="8" t="n">
        <x:v>44</x:v>
      </x:c>
      <x:c r="K278" s="8" t="n">
        <x:v>7</x:v>
      </x:c>
      <x:c r="L278" s="2"/>
      <x:c r="M278" s="2"/>
      <x:c r="N278" s="2"/>
    </x:row>
    <x:row r="279" ht="22" customHeight="1">
      <x:c r="A279" s="4" t="d">
        <x:v>2017-11-01T00:00:00.000Z</x:v>
      </x:c>
      <x:c r="B279" s="2" t="str">
        <x:v>MT</x:v>
      </x:c>
      <x:c r="C279" s="8" t="n">
        <x:v>74</x:v>
      </x:c>
      <x:c r="D279" s="8" t="n">
        <x:v>73</x:v>
      </x:c>
      <x:c r="E279" s="9" t="n">
        <x:v>11381.71</x:v>
      </x:c>
      <x:c r="F279" s="9" t="n">
        <x:v>1981.88</x:v>
      </x:c>
      <x:c r="G279" s="8" t="n">
        <x:v>73</x:v>
      </x:c>
      <x:c r="H279" s="8" t="n">
        <x:v>9</x:v>
      </x:c>
      <x:c r="I279" s="8" t="n">
        <x:v>1468.7662962963</x:v>
      </x:c>
      <x:c r="J279" s="8" t="n">
        <x:v>73</x:v>
      </x:c>
      <x:c r="K279" s="8" t="n">
        <x:v>10</x:v>
      </x:c>
      <x:c r="L279" s="2"/>
      <x:c r="M279" s="2"/>
      <x:c r="N279" s="2"/>
    </x:row>
    <x:row r="280" ht="22" customHeight="1">
      <x:c r="A280" s="4" t="d">
        <x:v>2017-11-01T00:00:00.000Z</x:v>
      </x:c>
      <x:c r="B280" s="2" t="str">
        <x:v>PA</x:v>
      </x:c>
      <x:c r="C280" s="8" t="n">
        <x:v>70</x:v>
      </x:c>
      <x:c r="D280" s="8" t="n">
        <x:v>69</x:v>
      </x:c>
      <x:c r="E280" s="9" t="n">
        <x:v>11666.53</x:v>
      </x:c>
      <x:c r="F280" s="9" t="n">
        <x:v>2706</x:v>
      </x:c>
      <x:c r="G280" s="8" t="n">
        <x:v>69</x:v>
      </x:c>
      <x:c r="H280" s="8" t="n">
        <x:v>10</x:v>
      </x:c>
      <x:c r="I280" s="8" t="n">
        <x:v>1827.9648958333</x:v>
      </x:c>
      <x:c r="J280" s="8" t="n">
        <x:v>68</x:v>
      </x:c>
      <x:c r="K280" s="8" t="n">
        <x:v>20</x:v>
      </x:c>
      <x:c r="L280" s="2"/>
      <x:c r="M280" s="2"/>
      <x:c r="N280" s="2"/>
    </x:row>
    <x:row r="281" ht="22" customHeight="1">
      <x:c r="A281" s="4" t="d">
        <x:v>2017-11-01T00:00:00.000Z</x:v>
      </x:c>
      <x:c r="B281" s="2" t="str">
        <x:v>PB</x:v>
      </x:c>
      <x:c r="C281" s="8" t="n">
        <x:v>30</x:v>
      </x:c>
      <x:c r="D281" s="8" t="n">
        <x:v>27</x:v>
      </x:c>
      <x:c r="E281" s="9" t="n">
        <x:v>4397.59</x:v>
      </x:c>
      <x:c r="F281" s="9" t="n">
        <x:v>1318.63</x:v>
      </x:c>
      <x:c r="G281" s="8" t="n">
        <x:v>27</x:v>
      </x:c>
      <x:c r="H281" s="8" t="n">
        <x:v>5</x:v>
      </x:c>
      <x:c r="I281" s="8" t="n">
        <x:v>645.892037037</x:v>
      </x:c>
      <x:c r="J281" s="8" t="n">
        <x:v>27</x:v>
      </x:c>
      <x:c r="K281" s="8" t="n">
        <x:v>8</x:v>
      </x:c>
      <x:c r="L281" s="2"/>
      <x:c r="M281" s="2"/>
      <x:c r="N281" s="2"/>
    </x:row>
    <x:row r="282" ht="22" customHeight="1">
      <x:c r="A282" s="4" t="d">
        <x:v>2017-11-01T00:00:00.000Z</x:v>
      </x:c>
      <x:c r="B282" s="2" t="str">
        <x:v>PE</x:v>
      </x:c>
      <x:c r="C282" s="8" t="n">
        <x:v>126</x:v>
      </x:c>
      <x:c r="D282" s="8" t="n">
        <x:v>125</x:v>
      </x:c>
      <x:c r="E282" s="9" t="n">
        <x:v>19599.24</x:v>
      </x:c>
      <x:c r="F282" s="9" t="n">
        <x:v>4635.46</x:v>
      </x:c>
      <x:c r="G282" s="8" t="n">
        <x:v>125</x:v>
      </x:c>
      <x:c r="H282" s="8" t="n">
        <x:v>15</x:v>
      </x:c>
      <x:c r="I282" s="8" t="n">
        <x:v>2424.3571759259</x:v>
      </x:c>
      <x:c r="J282" s="8" t="n">
        <x:v>124</x:v>
      </x:c>
      <x:c r="K282" s="8" t="n">
        <x:v>27</x:v>
      </x:c>
      <x:c r="L282" s="2"/>
      <x:c r="M282" s="2"/>
      <x:c r="N282" s="2"/>
    </x:row>
    <x:row r="283" ht="22" customHeight="1">
      <x:c r="A283" s="4" t="d">
        <x:v>2017-11-01T00:00:00.000Z</x:v>
      </x:c>
      <x:c r="B283" s="2" t="str">
        <x:v>PI</x:v>
      </x:c>
      <x:c r="C283" s="8" t="n">
        <x:v>31</x:v>
      </x:c>
      <x:c r="D283" s="8" t="n">
        <x:v>31</x:v>
      </x:c>
      <x:c r="E283" s="9" t="n">
        <x:v>2707.81</x:v>
      </x:c>
      <x:c r="F283" s="9" t="n">
        <x:v>1097.58</x:v>
      </x:c>
      <x:c r="G283" s="8" t="n">
        <x:v>31</x:v>
      </x:c>
      <x:c r="H283" s="8" t="n">
        <x:v>15</x:v>
      </x:c>
      <x:c r="I283" s="8" t="n">
        <x:v>830.6260532407</x:v>
      </x:c>
      <x:c r="J283" s="8" t="n">
        <x:v>31</x:v>
      </x:c>
      <x:c r="K283" s="8" t="n">
        <x:v>11</x:v>
      </x:c>
      <x:c r="L283" s="2"/>
      <x:c r="M283" s="2"/>
      <x:c r="N283" s="2"/>
    </x:row>
    <x:row r="284" ht="22" customHeight="1">
      <x:c r="A284" s="4" t="d">
        <x:v>2017-11-01T00:00:00.000Z</x:v>
      </x:c>
      <x:c r="B284" s="2" t="str">
        <x:v>PR</x:v>
      </x:c>
      <x:c r="C284" s="8" t="n">
        <x:v>378</x:v>
      </x:c>
      <x:c r="D284" s="8" t="n">
        <x:v>365</x:v>
      </x:c>
      <x:c r="E284" s="9" t="n">
        <x:v>45751.34</x:v>
      </x:c>
      <x:c r="F284" s="9" t="n">
        <x:v>8486.63</x:v>
      </x:c>
      <x:c r="G284" s="8" t="n">
        <x:v>365</x:v>
      </x:c>
      <x:c r="H284" s="8" t="n">
        <x:v>32</x:v>
      </x:c>
      <x:c r="I284" s="8" t="n">
        <x:v>5366.3240625</x:v>
      </x:c>
      <x:c r="J284" s="8" t="n">
        <x:v>363</x:v>
      </x:c>
      <x:c r="K284" s="8" t="n">
        <x:v>48</x:v>
      </x:c>
      <x:c r="L284" s="2"/>
      <x:c r="M284" s="2"/>
      <x:c r="N284" s="2"/>
    </x:row>
    <x:row r="285" ht="22" customHeight="1">
      <x:c r="A285" s="4" t="d">
        <x:v>2017-11-01T00:00:00.000Z</x:v>
      </x:c>
      <x:c r="B285" s="2" t="str">
        <x:v>RJ</x:v>
      </x:c>
      <x:c r="C285" s="8" t="n">
        <x:v>1048</x:v>
      </x:c>
      <x:c r="D285" s="8" t="n">
        <x:v>1012</x:v>
      </x:c>
      <x:c r="E285" s="9" t="n">
        <x:v>147782.4</x:v>
      </x:c>
      <x:c r="F285" s="9" t="n">
        <x:v>24415.42</x:v>
      </x:c>
      <x:c r="G285" s="8" t="n">
        <x:v>1012</x:v>
      </x:c>
      <x:c r="H285" s="8" t="n">
        <x:v>263</x:v>
      </x:c>
      <x:c r="I285" s="8" t="n">
        <x:v>19465.3812384259</x:v>
      </x:c>
      <x:c r="J285" s="8" t="n">
        <x:v>1004</x:v>
      </x:c>
      <x:c r="K285" s="8" t="n">
        <x:v>259</x:v>
      </x:c>
      <x:c r="L285" s="2"/>
      <x:c r="M285" s="2"/>
      <x:c r="N285" s="2"/>
    </x:row>
    <x:row r="286" ht="22" customHeight="1">
      <x:c r="A286" s="4" t="d">
        <x:v>2017-11-01T00:00:00.000Z</x:v>
      </x:c>
      <x:c r="B286" s="2" t="str">
        <x:v>RN</x:v>
      </x:c>
      <x:c r="C286" s="8" t="n">
        <x:v>44</x:v>
      </x:c>
      <x:c r="D286" s="8" t="n">
        <x:v>41</x:v>
      </x:c>
      <x:c r="E286" s="9" t="n">
        <x:v>8215.66</x:v>
      </x:c>
      <x:c r="F286" s="9" t="n">
        <x:v>1524.37</x:v>
      </x:c>
      <x:c r="G286" s="8" t="n">
        <x:v>41</x:v>
      </x:c>
      <x:c r="H286" s="8" t="n">
        <x:v>8</x:v>
      </x:c>
      <x:c r="I286" s="8" t="n">
        <x:v>849.6711805556</x:v>
      </x:c>
      <x:c r="J286" s="8" t="n">
        <x:v>41</x:v>
      </x:c>
      <x:c r="K286" s="8" t="n">
        <x:v>12</x:v>
      </x:c>
      <x:c r="L286" s="2"/>
      <x:c r="M286" s="2"/>
      <x:c r="N286" s="2"/>
    </x:row>
    <x:row r="287" ht="22" customHeight="1">
      <x:c r="A287" s="4" t="d">
        <x:v>2017-11-01T00:00:00.000Z</x:v>
      </x:c>
      <x:c r="B287" s="2" t="str">
        <x:v>RO</x:v>
      </x:c>
      <x:c r="C287" s="8" t="n">
        <x:v>17</x:v>
      </x:c>
      <x:c r="D287" s="8" t="n">
        <x:v>17</x:v>
      </x:c>
      <x:c r="E287" s="9" t="n">
        <x:v>5852.16</x:v>
      </x:c>
      <x:c r="F287" s="9" t="n">
        <x:v>1205.31</x:v>
      </x:c>
      <x:c r="G287" s="8" t="n">
        <x:v>17</x:v>
      </x:c>
      <x:c r="H287" s="8" t="n">
        <x:v>0</x:v>
      </x:c>
      <x:c r="I287" s="8" t="n">
        <x:v>291.1816898148</x:v>
      </x:c>
      <x:c r="J287" s="8" t="n">
        <x:v>17</x:v>
      </x:c>
      <x:c r="K287" s="8" t="n">
        <x:v>3</x:v>
      </x:c>
      <x:c r="L287" s="2"/>
      <x:c r="M287" s="2"/>
      <x:c r="N287" s="2"/>
    </x:row>
    <x:row r="288" ht="22" customHeight="1">
      <x:c r="A288" s="4" t="d">
        <x:v>2017-11-01T00:00:00.000Z</x:v>
      </x:c>
      <x:c r="B288" s="2" t="str">
        <x:v>RR</x:v>
      </x:c>
      <x:c r="C288" s="8" t="n">
        <x:v>2</x:v>
      </x:c>
      <x:c r="D288" s="8" t="n">
        <x:v>2</x:v>
      </x:c>
      <x:c r="E288" s="9" t="n">
        <x:v>98.64</x:v>
      </x:c>
      <x:c r="F288" s="9" t="n">
        <x:v>52.82</x:v>
      </x:c>
      <x:c r="G288" s="8" t="n">
        <x:v>2</x:v>
      </x:c>
      <x:c r="H288" s="8" t="n">
        <x:v>1</x:v>
      </x:c>
      <x:c r="I288" s="8" t="n">
        <x:v>68.2287731481</x:v>
      </x:c>
      <x:c r="J288" s="8" t="n">
        <x:v>2</x:v>
      </x:c>
      <x:c r="K288" s="8" t="n">
        <x:v>1</x:v>
      </x:c>
      <x:c r="L288" s="2"/>
      <x:c r="M288" s="2"/>
      <x:c r="N288" s="2"/>
    </x:row>
    <x:row r="289" ht="22" customHeight="1">
      <x:c r="A289" s="4" t="d">
        <x:v>2017-11-01T00:00:00.000Z</x:v>
      </x:c>
      <x:c r="B289" s="2" t="str">
        <x:v>RS</x:v>
      </x:c>
      <x:c r="C289" s="8" t="n">
        <x:v>422</x:v>
      </x:c>
      <x:c r="D289" s="8" t="n">
        <x:v>409</x:v>
      </x:c>
      <x:c r="E289" s="9" t="n">
        <x:v>57463.27</x:v>
      </x:c>
      <x:c r="F289" s="9" t="n">
        <x:v>9799.46</x:v>
      </x:c>
      <x:c r="G289" s="8" t="n">
        <x:v>409</x:v>
      </x:c>
      <x:c r="H289" s="8" t="n">
        <x:v>52</x:v>
      </x:c>
      <x:c r="I289" s="8" t="n">
        <x:v>7772.5982986111</x:v>
      </x:c>
      <x:c r="J289" s="8" t="n">
        <x:v>407</x:v>
      </x:c>
      <x:c r="K289" s="8" t="n">
        <x:v>83</x:v>
      </x:c>
      <x:c r="L289" s="2"/>
      <x:c r="M289" s="2"/>
      <x:c r="N289" s="2"/>
    </x:row>
    <x:row r="290" ht="22" customHeight="1">
      <x:c r="A290" s="4" t="d">
        <x:v>2017-11-01T00:00:00.000Z</x:v>
      </x:c>
      <x:c r="B290" s="2" t="str">
        <x:v>SC</x:v>
      </x:c>
      <x:c r="C290" s="8" t="n">
        <x:v>303</x:v>
      </x:c>
      <x:c r="D290" s="8" t="n">
        <x:v>288</x:v>
      </x:c>
      <x:c r="E290" s="9" t="n">
        <x:v>37870.9</x:v>
      </x:c>
      <x:c r="F290" s="9" t="n">
        <x:v>6396.82</x:v>
      </x:c>
      <x:c r="G290" s="8" t="n">
        <x:v>288</x:v>
      </x:c>
      <x:c r="H290" s="8" t="n">
        <x:v>43</x:v>
      </x:c>
      <x:c r="I290" s="8" t="n">
        <x:v>5075.1747800926</x:v>
      </x:c>
      <x:c r="J290" s="8" t="n">
        <x:v>286</x:v>
      </x:c>
      <x:c r="K290" s="8" t="n">
        <x:v>53</x:v>
      </x:c>
      <x:c r="L290" s="2"/>
      <x:c r="M290" s="2"/>
      <x:c r="N290" s="2"/>
    </x:row>
    <x:row r="291" ht="22" customHeight="1">
      <x:c r="A291" s="4" t="d">
        <x:v>2017-11-01T00:00:00.000Z</x:v>
      </x:c>
      <x:c r="B291" s="2" t="str">
        <x:v>SE</x:v>
      </x:c>
      <x:c r="C291" s="8" t="n">
        <x:v>27</x:v>
      </x:c>
      <x:c r="D291" s="8" t="n">
        <x:v>26</x:v>
      </x:c>
      <x:c r="E291" s="9" t="n">
        <x:v>5579.25</x:v>
      </x:c>
      <x:c r="F291" s="9" t="n">
        <x:v>1034.14</x:v>
      </x:c>
      <x:c r="G291" s="8" t="n">
        <x:v>26</x:v>
      </x:c>
      <x:c r="H291" s="8" t="n">
        <x:v>7</x:v>
      </x:c>
      <x:c r="I291" s="8" t="n">
        <x:v>687.6666319444</x:v>
      </x:c>
      <x:c r="J291" s="8" t="n">
        <x:v>26</x:v>
      </x:c>
      <x:c r="K291" s="8" t="n">
        <x:v>9</x:v>
      </x:c>
      <x:c r="L291" s="2"/>
      <x:c r="M291" s="2"/>
      <x:c r="N291" s="2"/>
    </x:row>
    <x:row r="292" ht="22" customHeight="1">
      <x:c r="A292" s="4" t="d">
        <x:v>2017-11-01T00:00:00.000Z</x:v>
      </x:c>
      <x:c r="B292" s="2" t="str">
        <x:v>SP</x:v>
      </x:c>
      <x:c r="C292" s="8" t="n">
        <x:v>3012</x:v>
      </x:c>
      <x:c r="D292" s="8" t="n">
        <x:v>2899</x:v>
      </x:c>
      <x:c r="E292" s="9" t="n">
        <x:v>350790.18</x:v>
      </x:c>
      <x:c r="F292" s="9" t="n">
        <x:v>50210.69</x:v>
      </x:c>
      <x:c r="G292" s="8" t="n">
        <x:v>2898</x:v>
      </x:c>
      <x:c r="H292" s="8" t="n">
        <x:v>202</x:v>
      </x:c>
      <x:c r="I292" s="8" t="n">
        <x:v>30986.929837963</x:v>
      </x:c>
      <x:c r="J292" s="8" t="n">
        <x:v>2880</x:v>
      </x:c>
      <x:c r="K292" s="8" t="n">
        <x:v>350</x:v>
      </x:c>
      <x:c r="L292" s="2"/>
      <x:c r="M292" s="2"/>
      <x:c r="N292" s="2"/>
    </x:row>
    <x:row r="293" ht="22" customHeight="1">
      <x:c r="A293" s="4" t="d">
        <x:v>2017-11-01T00:00:00.000Z</x:v>
      </x:c>
      <x:c r="B293" s="2" t="str">
        <x:v>TO</x:v>
      </x:c>
      <x:c r="C293" s="8" t="n">
        <x:v>17</x:v>
      </x:c>
      <x:c r="D293" s="8" t="n">
        <x:v>17</x:v>
      </x:c>
      <x:c r="E293" s="9" t="n">
        <x:v>2336.06</x:v>
      </x:c>
      <x:c r="F293" s="9" t="n">
        <x:v>742.86</x:v>
      </x:c>
      <x:c r="G293" s="8" t="n">
        <x:v>17</x:v>
      </x:c>
      <x:c r="H293" s="8" t="n">
        <x:v>3</x:v>
      </x:c>
      <x:c r="I293" s="8" t="n">
        <x:v>336.5072685185</x:v>
      </x:c>
      <x:c r="J293" s="8" t="n">
        <x:v>17</x:v>
      </x:c>
      <x:c r="K293" s="8" t="n">
        <x:v>2</x:v>
      </x:c>
      <x:c r="L293" s="2"/>
      <x:c r="M293" s="2"/>
      <x:c r="N293" s="2"/>
    </x:row>
    <x:row r="294" ht="22" customHeight="1">
      <x:c r="A294" s="4" t="d">
        <x:v>2017-12-01T00:00:00.000Z</x:v>
      </x:c>
      <x:c r="B294" s="2" t="str">
        <x:v>AC</x:v>
      </x:c>
      <x:c r="C294" s="8" t="n">
        <x:v>5</x:v>
      </x:c>
      <x:c r="D294" s="8" t="n">
        <x:v>5</x:v>
      </x:c>
      <x:c r="E294" s="9" t="n">
        <x:v>1100.78</x:v>
      </x:c>
      <x:c r="F294" s="9" t="n">
        <x:v>308.8</x:v>
      </x:c>
      <x:c r="G294" s="8" t="n">
        <x:v>5</x:v>
      </x:c>
      <x:c r="H294" s="8" t="n">
        <x:v>0</x:v>
      </x:c>
      <x:c r="I294" s="8" t="n">
        <x:v>109.5950925926</x:v>
      </x:c>
      <x:c r="J294" s="8" t="n">
        <x:v>5</x:v>
      </x:c>
      <x:c r="K294" s="8" t="n">
        <x:v>0</x:v>
      </x:c>
      <x:c r="L294" s="2"/>
      <x:c r="M294" s="2"/>
      <x:c r="N294" s="2"/>
    </x:row>
    <x:row r="295" ht="22" customHeight="1">
      <x:c r="A295" s="4" t="d">
        <x:v>2017-12-01T00:00:00.000Z</x:v>
      </x:c>
      <x:c r="B295" s="2" t="str">
        <x:v>AL</x:v>
      </x:c>
      <x:c r="C295" s="8" t="n">
        <x:v>14</x:v>
      </x:c>
      <x:c r="D295" s="8" t="n">
        <x:v>12</x:v>
      </x:c>
      <x:c r="E295" s="9" t="n">
        <x:v>2223.87</x:v>
      </x:c>
      <x:c r="F295" s="9" t="n">
        <x:v>456.89</x:v>
      </x:c>
      <x:c r="G295" s="8" t="n">
        <x:v>12</x:v>
      </x:c>
      <x:c r="H295" s="8" t="n">
        <x:v>0</x:v>
      </x:c>
      <x:c r="I295" s="8" t="n">
        <x:v>261.2859953704</x:v>
      </x:c>
      <x:c r="J295" s="8" t="n">
        <x:v>12</x:v>
      </x:c>
      <x:c r="K295" s="8" t="n">
        <x:v>0</x:v>
      </x:c>
      <x:c r="L295" s="2"/>
      <x:c r="M295" s="2"/>
      <x:c r="N295" s="2"/>
    </x:row>
    <x:row r="296" ht="22" customHeight="1">
      <x:c r="A296" s="4" t="d">
        <x:v>2017-12-01T00:00:00.000Z</x:v>
      </x:c>
      <x:c r="B296" s="2" t="str">
        <x:v>AM</x:v>
      </x:c>
      <x:c r="C296" s="8" t="n">
        <x:v>6</x:v>
      </x:c>
      <x:c r="D296" s="8" t="n">
        <x:v>6</x:v>
      </x:c>
      <x:c r="E296" s="9" t="n">
        <x:v>1029.46</x:v>
      </x:c>
      <x:c r="F296" s="9" t="n">
        <x:v>144.16</x:v>
      </x:c>
      <x:c r="G296" s="8" t="n">
        <x:v>6</x:v>
      </x:c>
      <x:c r="H296" s="8" t="n">
        <x:v>0</x:v>
      </x:c>
      <x:c r="I296" s="8" t="n">
        <x:v>221.2651967593</x:v>
      </x:c>
      <x:c r="J296" s="8" t="n">
        <x:v>6</x:v>
      </x:c>
      <x:c r="K296" s="8" t="n">
        <x:v>0</x:v>
      </x:c>
      <x:c r="L296" s="2"/>
      <x:c r="M296" s="2"/>
      <x:c r="N296" s="2"/>
    </x:row>
    <x:row r="297" ht="22" customHeight="1">
      <x:c r="A297" s="4" t="d">
        <x:v>2017-12-01T00:00:00.000Z</x:v>
      </x:c>
      <x:c r="B297" s="2" t="str">
        <x:v>AP</x:v>
      </x:c>
      <x:c r="C297" s="8" t="n">
        <x:v>4</x:v>
      </x:c>
      <x:c r="D297" s="8" t="n">
        <x:v>4</x:v>
      </x:c>
      <x:c r="E297" s="9" t="n">
        <x:v>601.9</x:v>
      </x:c>
      <x:c r="F297" s="9" t="n">
        <x:v>168.66</x:v>
      </x:c>
      <x:c r="G297" s="8" t="n">
        <x:v>4</x:v>
      </x:c>
      <x:c r="H297" s="8" t="n">
        <x:v>0</x:v>
      </x:c>
      <x:c r="I297" s="8" t="n">
        <x:v>122.1759606481</x:v>
      </x:c>
      <x:c r="J297" s="8" t="n">
        <x:v>4</x:v>
      </x:c>
      <x:c r="K297" s="8" t="n">
        <x:v>0</x:v>
      </x:c>
      <x:c r="L297" s="2"/>
      <x:c r="M297" s="2"/>
      <x:c r="N297" s="2"/>
    </x:row>
    <x:row r="298" ht="22" customHeight="1">
      <x:c r="A298" s="4" t="d">
        <x:v>2017-12-01T00:00:00.000Z</x:v>
      </x:c>
      <x:c r="B298" s="2" t="str">
        <x:v>BA</x:v>
      </x:c>
      <x:c r="C298" s="8" t="n">
        <x:v>192</x:v>
      </x:c>
      <x:c r="D298" s="8" t="n">
        <x:v>188</x:v>
      </x:c>
      <x:c r="E298" s="9" t="n">
        <x:v>27799.77</x:v>
      </x:c>
      <x:c r="F298" s="9" t="n">
        <x:v>5115.18</x:v>
      </x:c>
      <x:c r="G298" s="8" t="n">
        <x:v>188</x:v>
      </x:c>
      <x:c r="H298" s="8" t="n">
        <x:v>24</x:v>
      </x:c>
      <x:c r="I298" s="8" t="n">
        <x:v>4213.2013773148</x:v>
      </x:c>
      <x:c r="J298" s="8" t="n">
        <x:v>185</x:v>
      </x:c>
      <x:c r="K298" s="8" t="n">
        <x:v>27</x:v>
      </x:c>
      <x:c r="L298" s="2"/>
      <x:c r="M298" s="2"/>
      <x:c r="N298" s="2"/>
    </x:row>
    <x:row r="299" ht="22" customHeight="1">
      <x:c r="A299" s="4" t="d">
        <x:v>2017-12-01T00:00:00.000Z</x:v>
      </x:c>
      <x:c r="B299" s="2" t="str">
        <x:v>CE</x:v>
      </x:c>
      <x:c r="C299" s="8" t="n">
        <x:v>81</x:v>
      </x:c>
      <x:c r="D299" s="8" t="n">
        <x:v>79</x:v>
      </x:c>
      <x:c r="E299" s="9" t="n">
        <x:v>10299.44</x:v>
      </x:c>
      <x:c r="F299" s="9" t="n">
        <x:v>2340.76</x:v>
      </x:c>
      <x:c r="G299" s="8" t="n">
        <x:v>79</x:v>
      </x:c>
      <x:c r="H299" s="8" t="n">
        <x:v>6</x:v>
      </x:c>
      <x:c r="I299" s="8" t="n">
        <x:v>1824.6784143519</x:v>
      </x:c>
      <x:c r="J299" s="8" t="n">
        <x:v>79</x:v>
      </x:c>
      <x:c r="K299" s="8" t="n">
        <x:v>9</x:v>
      </x:c>
      <x:c r="L299" s="2"/>
      <x:c r="M299" s="2"/>
      <x:c r="N299" s="2"/>
    </x:row>
    <x:row r="300" ht="22" customHeight="1">
      <x:c r="A300" s="4" t="d">
        <x:v>2017-12-01T00:00:00.000Z</x:v>
      </x:c>
      <x:c r="B300" s="2" t="str">
        <x:v>DF</x:v>
      </x:c>
      <x:c r="C300" s="8" t="n">
        <x:v>131</x:v>
      </x:c>
      <x:c r="D300" s="8" t="n">
        <x:v>129</x:v>
      </x:c>
      <x:c r="E300" s="9" t="n">
        <x:v>16829.68</x:v>
      </x:c>
      <x:c r="F300" s="9" t="n">
        <x:v>2936.97</x:v>
      </x:c>
      <x:c r="G300" s="8" t="n">
        <x:v>129</x:v>
      </x:c>
      <x:c r="H300" s="8" t="n">
        <x:v>6</x:v>
      </x:c>
      <x:c r="I300" s="8" t="n">
        <x:v>1983.2490046296</x:v>
      </x:c>
      <x:c r="J300" s="8" t="n">
        <x:v>127</x:v>
      </x:c>
      <x:c r="K300" s="8" t="n">
        <x:v>14</x:v>
      </x:c>
      <x:c r="L300" s="2"/>
      <x:c r="M300" s="2"/>
      <x:c r="N300" s="2"/>
    </x:row>
    <x:row r="301" ht="22" customHeight="1">
      <x:c r="A301" s="4" t="d">
        <x:v>2017-12-01T00:00:00.000Z</x:v>
      </x:c>
      <x:c r="B301" s="2" t="str">
        <x:v>ES</x:v>
      </x:c>
      <x:c r="C301" s="8" t="n">
        <x:v>113</x:v>
      </x:c>
      <x:c r="D301" s="8" t="n">
        <x:v>108</x:v>
      </x:c>
      <x:c r="E301" s="9" t="n">
        <x:v>12189.76</x:v>
      </x:c>
      <x:c r="F301" s="9" t="n">
        <x:v>2060.8</x:v>
      </x:c>
      <x:c r="G301" s="8" t="n">
        <x:v>108</x:v>
      </x:c>
      <x:c r="H301" s="8" t="n">
        <x:v>7</x:v>
      </x:c>
      <x:c r="I301" s="8" t="n">
        <x:v>2126.6324768519</x:v>
      </x:c>
      <x:c r="J301" s="8" t="n">
        <x:v>106</x:v>
      </x:c>
      <x:c r="K301" s="8" t="n">
        <x:v>11</x:v>
      </x:c>
      <x:c r="L301" s="2"/>
      <x:c r="M301" s="2"/>
      <x:c r="N301" s="2"/>
    </x:row>
    <x:row r="302" ht="22" customHeight="1">
      <x:c r="A302" s="4" t="d">
        <x:v>2017-12-01T00:00:00.000Z</x:v>
      </x:c>
      <x:c r="B302" s="2" t="str">
        <x:v>GO</x:v>
      </x:c>
      <x:c r="C302" s="8" t="n">
        <x:v>127</x:v>
      </x:c>
      <x:c r="D302" s="8" t="n">
        <x:v>125</x:v>
      </x:c>
      <x:c r="E302" s="9" t="n">
        <x:v>15674.93</x:v>
      </x:c>
      <x:c r="F302" s="9" t="n">
        <x:v>2711.55</x:v>
      </x:c>
      <x:c r="G302" s="8" t="n">
        <x:v>125</x:v>
      </x:c>
      <x:c r="H302" s="8" t="n">
        <x:v>9</x:v>
      </x:c>
      <x:c r="I302" s="8" t="n">
        <x:v>2313.3095833333</x:v>
      </x:c>
      <x:c r="J302" s="8" t="n">
        <x:v>124</x:v>
      </x:c>
      <x:c r="K302" s="8" t="n">
        <x:v>21</x:v>
      </x:c>
      <x:c r="L302" s="2"/>
      <x:c r="M302" s="2"/>
      <x:c r="N302" s="2"/>
    </x:row>
    <x:row r="303" ht="22" customHeight="1">
      <x:c r="A303" s="4" t="d">
        <x:v>2017-12-01T00:00:00.000Z</x:v>
      </x:c>
      <x:c r="B303" s="2" t="str">
        <x:v>MA</x:v>
      </x:c>
      <x:c r="C303" s="8" t="n">
        <x:v>41</x:v>
      </x:c>
      <x:c r="D303" s="8" t="n">
        <x:v>40</x:v>
      </x:c>
      <x:c r="E303" s="9" t="n">
        <x:v>5590.15</x:v>
      </x:c>
      <x:c r="F303" s="9" t="n">
        <x:v>1691.79</x:v>
      </x:c>
      <x:c r="G303" s="8" t="n">
        <x:v>40</x:v>
      </x:c>
      <x:c r="H303" s="8" t="n">
        <x:v>5</x:v>
      </x:c>
      <x:c r="I303" s="8" t="n">
        <x:v>975.4309722222</x:v>
      </x:c>
      <x:c r="J303" s="8" t="n">
        <x:v>40</x:v>
      </x:c>
      <x:c r="K303" s="8" t="n">
        <x:v>12</x:v>
      </x:c>
      <x:c r="L303" s="2"/>
      <x:c r="M303" s="2"/>
      <x:c r="N303" s="2"/>
    </x:row>
    <x:row r="304" ht="22" customHeight="1">
      <x:c r="A304" s="4" t="d">
        <x:v>2017-12-01T00:00:00.000Z</x:v>
      </x:c>
      <x:c r="B304" s="2" t="str">
        <x:v>MG</x:v>
      </x:c>
      <x:c r="C304" s="8" t="n">
        <x:v>691</x:v>
      </x:c>
      <x:c r="D304" s="8" t="n">
        <x:v>669</x:v>
      </x:c>
      <x:c r="E304" s="9" t="n">
        <x:v>91152.9</x:v>
      </x:c>
      <x:c r="F304" s="9" t="n">
        <x:v>14300.9</x:v>
      </x:c>
      <x:c r="G304" s="8" t="n">
        <x:v>669</x:v>
      </x:c>
      <x:c r="H304" s="8" t="n">
        <x:v>23</x:v>
      </x:c>
      <x:c r="I304" s="8" t="n">
        <x:v>9792.9821643519</x:v>
      </x:c>
      <x:c r="J304" s="8" t="n">
        <x:v>667</x:v>
      </x:c>
      <x:c r="K304" s="8" t="n">
        <x:v>89</x:v>
      </x:c>
      <x:c r="L304" s="2"/>
      <x:c r="M304" s="2"/>
      <x:c r="N304" s="2"/>
    </x:row>
    <x:row r="305" ht="22" customHeight="1">
      <x:c r="A305" s="4" t="d">
        <x:v>2017-12-01T00:00:00.000Z</x:v>
      </x:c>
      <x:c r="B305" s="2" t="str">
        <x:v>MS</x:v>
      </x:c>
      <x:c r="C305" s="8" t="n">
        <x:v>36</x:v>
      </x:c>
      <x:c r="D305" s="8" t="n">
        <x:v>34</x:v>
      </x:c>
      <x:c r="E305" s="9" t="n">
        <x:v>5231.45</x:v>
      </x:c>
      <x:c r="F305" s="9" t="n">
        <x:v>774.5</x:v>
      </x:c>
      <x:c r="G305" s="8" t="n">
        <x:v>34</x:v>
      </x:c>
      <x:c r="H305" s="8" t="n">
        <x:v>2</x:v>
      </x:c>
      <x:c r="I305" s="8" t="n">
        <x:v>676.3382986111</x:v>
      </x:c>
      <x:c r="J305" s="8" t="n">
        <x:v>34</x:v>
      </x:c>
      <x:c r="K305" s="8" t="n">
        <x:v>5</x:v>
      </x:c>
      <x:c r="L305" s="2"/>
      <x:c r="M305" s="2"/>
      <x:c r="N305" s="2"/>
    </x:row>
    <x:row r="306" ht="22" customHeight="1">
      <x:c r="A306" s="4" t="d">
        <x:v>2017-12-01T00:00:00.000Z</x:v>
      </x:c>
      <x:c r="B306" s="2" t="str">
        <x:v>MT</x:v>
      </x:c>
      <x:c r="C306" s="8" t="n">
        <x:v>50</x:v>
      </x:c>
      <x:c r="D306" s="8" t="n">
        <x:v>49</x:v>
      </x:c>
      <x:c r="E306" s="9" t="n">
        <x:v>9017.2</x:v>
      </x:c>
      <x:c r="F306" s="9" t="n">
        <x:v>1531.23</x:v>
      </x:c>
      <x:c r="G306" s="8" t="n">
        <x:v>49</x:v>
      </x:c>
      <x:c r="H306" s="8" t="n">
        <x:v>5</x:v>
      </x:c>
      <x:c r="I306" s="8" t="n">
        <x:v>1143.7171180556</x:v>
      </x:c>
      <x:c r="J306" s="8" t="n">
        <x:v>48</x:v>
      </x:c>
      <x:c r="K306" s="8" t="n">
        <x:v>10</x:v>
      </x:c>
      <x:c r="L306" s="2"/>
      <x:c r="M306" s="2"/>
      <x:c r="N306" s="2"/>
    </x:row>
    <x:row r="307" ht="22" customHeight="1">
      <x:c r="A307" s="4" t="d">
        <x:v>2017-12-01T00:00:00.000Z</x:v>
      </x:c>
      <x:c r="B307" s="2" t="str">
        <x:v>PA</x:v>
      </x:c>
      <x:c r="C307" s="8" t="n">
        <x:v>58</x:v>
      </x:c>
      <x:c r="D307" s="8" t="n">
        <x:v>58</x:v>
      </x:c>
      <x:c r="E307" s="9" t="n">
        <x:v>10420.23</x:v>
      </x:c>
      <x:c r="F307" s="9" t="n">
        <x:v>1962.17</x:v>
      </x:c>
      <x:c r="G307" s="8" t="n">
        <x:v>58</x:v>
      </x:c>
      <x:c r="H307" s="8" t="n">
        <x:v>4</x:v>
      </x:c>
      <x:c r="I307" s="8" t="n">
        <x:v>1534.616099537</x:v>
      </x:c>
      <x:c r="J307" s="8" t="n">
        <x:v>57</x:v>
      </x:c>
      <x:c r="K307" s="8" t="n">
        <x:v>10</x:v>
      </x:c>
      <x:c r="L307" s="2"/>
      <x:c r="M307" s="2"/>
      <x:c r="N307" s="2"/>
    </x:row>
    <x:row r="308" ht="22" customHeight="1">
      <x:c r="A308" s="4" t="d">
        <x:v>2017-12-01T00:00:00.000Z</x:v>
      </x:c>
      <x:c r="B308" s="2" t="str">
        <x:v>PB</x:v>
      </x:c>
      <x:c r="C308" s="8" t="n">
        <x:v>37</x:v>
      </x:c>
      <x:c r="D308" s="8" t="n">
        <x:v>37</x:v>
      </x:c>
      <x:c r="E308" s="9" t="n">
        <x:v>5585.56</x:v>
      </x:c>
      <x:c r="F308" s="9" t="n">
        <x:v>1430.69</x:v>
      </x:c>
      <x:c r="G308" s="8" t="n">
        <x:v>37</x:v>
      </x:c>
      <x:c r="H308" s="8" t="n">
        <x:v>4</x:v>
      </x:c>
      <x:c r="I308" s="8" t="n">
        <x:v>797.7225231481</x:v>
      </x:c>
      <x:c r="J308" s="8" t="n">
        <x:v>36</x:v>
      </x:c>
      <x:c r="K308" s="8" t="n">
        <x:v>7</x:v>
      </x:c>
      <x:c r="L308" s="2"/>
      <x:c r="M308" s="2"/>
      <x:c r="N308" s="2"/>
    </x:row>
    <x:row r="309" ht="22" customHeight="1">
      <x:c r="A309" s="4" t="d">
        <x:v>2017-12-01T00:00:00.000Z</x:v>
      </x:c>
      <x:c r="B309" s="2" t="str">
        <x:v>PE</x:v>
      </x:c>
      <x:c r="C309" s="8" t="n">
        <x:v>103</x:v>
      </x:c>
      <x:c r="D309" s="8" t="n">
        <x:v>101</x:v>
      </x:c>
      <x:c r="E309" s="9" t="n">
        <x:v>15670.62</x:v>
      </x:c>
      <x:c r="F309" s="9" t="n">
        <x:v>3486.51</x:v>
      </x:c>
      <x:c r="G309" s="8" t="n">
        <x:v>101</x:v>
      </x:c>
      <x:c r="H309" s="8" t="n">
        <x:v>8</x:v>
      </x:c>
      <x:c r="I309" s="8" t="n">
        <x:v>2184.4230208333</x:v>
      </x:c>
      <x:c r="J309" s="8" t="n">
        <x:v>99</x:v>
      </x:c>
      <x:c r="K309" s="8" t="n">
        <x:v>14</x:v>
      </x:c>
      <x:c r="L309" s="2"/>
      <x:c r="M309" s="2"/>
      <x:c r="N309" s="2"/>
    </x:row>
    <x:row r="310" ht="22" customHeight="1">
      <x:c r="A310" s="4" t="d">
        <x:v>2017-12-01T00:00:00.000Z</x:v>
      </x:c>
      <x:c r="B310" s="2" t="str">
        <x:v>PI</x:v>
      </x:c>
      <x:c r="C310" s="8" t="n">
        <x:v>23</x:v>
      </x:c>
      <x:c r="D310" s="8" t="n">
        <x:v>23</x:v>
      </x:c>
      <x:c r="E310" s="9" t="n">
        <x:v>2646.92</x:v>
      </x:c>
      <x:c r="F310" s="9" t="n">
        <x:v>861.56</x:v>
      </x:c>
      <x:c r="G310" s="8" t="n">
        <x:v>23</x:v>
      </x:c>
      <x:c r="H310" s="8" t="n">
        <x:v>3</x:v>
      </x:c>
      <x:c r="I310" s="8" t="n">
        <x:v>478.9417592593</x:v>
      </x:c>
      <x:c r="J310" s="8" t="n">
        <x:v>23</x:v>
      </x:c>
      <x:c r="K310" s="8" t="n">
        <x:v>1</x:v>
      </x:c>
      <x:c r="L310" s="2"/>
      <x:c r="M310" s="2"/>
      <x:c r="N310" s="2"/>
    </x:row>
    <x:row r="311" ht="22" customHeight="1">
      <x:c r="A311" s="4" t="d">
        <x:v>2017-12-01T00:00:00.000Z</x:v>
      </x:c>
      <x:c r="B311" s="2" t="str">
        <x:v>PR</x:v>
      </x:c>
      <x:c r="C311" s="8" t="n">
        <x:v>270</x:v>
      </x:c>
      <x:c r="D311" s="8" t="n">
        <x:v>260</x:v>
      </x:c>
      <x:c r="E311" s="9" t="n">
        <x:v>29894.54</x:v>
      </x:c>
      <x:c r="F311" s="9" t="n">
        <x:v>5199.87</x:v>
      </x:c>
      <x:c r="G311" s="8" t="n">
        <x:v>260</x:v>
      </x:c>
      <x:c r="H311" s="8" t="n">
        <x:v>13</x:v>
      </x:c>
      <x:c r="I311" s="8" t="n">
        <x:v>3860.6945601852</x:v>
      </x:c>
      <x:c r="J311" s="8" t="n">
        <x:v>259</x:v>
      </x:c>
      <x:c r="K311" s="8" t="n">
        <x:v>36</x:v>
      </x:c>
      <x:c r="L311" s="2"/>
      <x:c r="M311" s="2"/>
      <x:c r="N311" s="2"/>
    </x:row>
    <x:row r="312" ht="22" customHeight="1">
      <x:c r="A312" s="4" t="d">
        <x:v>2017-12-01T00:00:00.000Z</x:v>
      </x:c>
      <x:c r="B312" s="2" t="str">
        <x:v>RJ</x:v>
      </x:c>
      <x:c r="C312" s="8" t="n">
        <x:v>783</x:v>
      </x:c>
      <x:c r="D312" s="8" t="n">
        <x:v>746</x:v>
      </x:c>
      <x:c r="E312" s="9" t="n">
        <x:v>112259.63</x:v>
      </x:c>
      <x:c r="F312" s="9" t="n">
        <x:v>17757.58</x:v>
      </x:c>
      <x:c r="G312" s="8" t="n">
        <x:v>746</x:v>
      </x:c>
      <x:c r="H312" s="8" t="n">
        <x:v>179</x:v>
      </x:c>
      <x:c r="I312" s="8" t="n">
        <x:v>16294.7805324074</x:v>
      </x:c>
      <x:c r="J312" s="8" t="n">
        <x:v>732</x:v>
      </x:c>
      <x:c r="K312" s="8" t="n">
        <x:v>213</x:v>
      </x:c>
      <x:c r="L312" s="2"/>
      <x:c r="M312" s="2"/>
      <x:c r="N312" s="2"/>
    </x:row>
    <x:row r="313" ht="22" customHeight="1">
      <x:c r="A313" s="4" t="d">
        <x:v>2017-12-01T00:00:00.000Z</x:v>
      </x:c>
      <x:c r="B313" s="2" t="str">
        <x:v>RN</x:v>
      </x:c>
      <x:c r="C313" s="8" t="n">
        <x:v>30</x:v>
      </x:c>
      <x:c r="D313" s="8" t="n">
        <x:v>30</x:v>
      </x:c>
      <x:c r="E313" s="9" t="n">
        <x:v>3168.45</x:v>
      </x:c>
      <x:c r="F313" s="9" t="n">
        <x:v>930.05</x:v>
      </x:c>
      <x:c r="G313" s="8" t="n">
        <x:v>30</x:v>
      </x:c>
      <x:c r="H313" s="8" t="n">
        <x:v>2</x:v>
      </x:c>
      <x:c r="I313" s="8" t="n">
        <x:v>507.3387731481</x:v>
      </x:c>
      <x:c r="J313" s="8" t="n">
        <x:v>30</x:v>
      </x:c>
      <x:c r="K313" s="8" t="n">
        <x:v>1</x:v>
      </x:c>
      <x:c r="L313" s="2"/>
      <x:c r="M313" s="2"/>
      <x:c r="N313" s="2"/>
    </x:row>
    <x:row r="314" ht="22" customHeight="1">
      <x:c r="A314" s="4" t="d">
        <x:v>2017-12-01T00:00:00.000Z</x:v>
      </x:c>
      <x:c r="B314" s="2" t="str">
        <x:v>RO</x:v>
      </x:c>
      <x:c r="C314" s="8" t="n">
        <x:v>11</x:v>
      </x:c>
      <x:c r="D314" s="8" t="n">
        <x:v>11</x:v>
      </x:c>
      <x:c r="E314" s="9" t="n">
        <x:v>1949.58</x:v>
      </x:c>
      <x:c r="F314" s="9" t="n">
        <x:v>460.78</x:v>
      </x:c>
      <x:c r="G314" s="8" t="n">
        <x:v>11</x:v>
      </x:c>
      <x:c r="H314" s="8" t="n">
        <x:v>0</x:v>
      </x:c>
      <x:c r="I314" s="8" t="n">
        <x:v>232.9841550926</x:v>
      </x:c>
      <x:c r="J314" s="8" t="n">
        <x:v>11</x:v>
      </x:c>
      <x:c r="K314" s="8" t="n">
        <x:v>2</x:v>
      </x:c>
      <x:c r="L314" s="2"/>
      <x:c r="M314" s="2"/>
      <x:c r="N314" s="2"/>
    </x:row>
    <x:row r="315" ht="22" customHeight="1">
      <x:c r="A315" s="4" t="d">
        <x:v>2017-12-01T00:00:00.000Z</x:v>
      </x:c>
      <x:c r="B315" s="2" t="str">
        <x:v>RS</x:v>
      </x:c>
      <x:c r="C315" s="8" t="n">
        <x:v>283</x:v>
      </x:c>
      <x:c r="D315" s="8" t="n">
        <x:v>278</x:v>
      </x:c>
      <x:c r="E315" s="9" t="n">
        <x:v>41904.95</x:v>
      </x:c>
      <x:c r="F315" s="9" t="n">
        <x:v>6788.47</x:v>
      </x:c>
      <x:c r="G315" s="8" t="n">
        <x:v>278</x:v>
      </x:c>
      <x:c r="H315" s="8" t="n">
        <x:v>28</x:v>
      </x:c>
      <x:c r="I315" s="8" t="n">
        <x:v>5591.9174768519</x:v>
      </x:c>
      <x:c r="J315" s="8" t="n">
        <x:v>275</x:v>
      </x:c>
      <x:c r="K315" s="8" t="n">
        <x:v>44</x:v>
      </x:c>
      <x:c r="L315" s="2"/>
      <x:c r="M315" s="2"/>
      <x:c r="N315" s="2"/>
    </x:row>
    <x:row r="316" ht="22" customHeight="1">
      <x:c r="A316" s="4" t="d">
        <x:v>2017-12-01T00:00:00.000Z</x:v>
      </x:c>
      <x:c r="B316" s="2" t="str">
        <x:v>SC</x:v>
      </x:c>
      <x:c r="C316" s="8" t="n">
        <x:v>193</x:v>
      </x:c>
      <x:c r="D316" s="8" t="n">
        <x:v>192</x:v>
      </x:c>
      <x:c r="E316" s="9" t="n">
        <x:v>24234.89</x:v>
      </x:c>
      <x:c r="F316" s="9" t="n">
        <x:v>4135.17</x:v>
      </x:c>
      <x:c r="G316" s="8" t="n">
        <x:v>192</x:v>
      </x:c>
      <x:c r="H316" s="8" t="n">
        <x:v>8</x:v>
      </x:c>
      <x:c r="I316" s="8" t="n">
        <x:v>3415.7469328704</x:v>
      </x:c>
      <x:c r="J316" s="8" t="n">
        <x:v>191</x:v>
      </x:c>
      <x:c r="K316" s="8" t="n">
        <x:v>23</x:v>
      </x:c>
      <x:c r="L316" s="2"/>
      <x:c r="M316" s="2"/>
      <x:c r="N316" s="2"/>
    </x:row>
    <x:row r="317" ht="22" customHeight="1">
      <x:c r="A317" s="4" t="d">
        <x:v>2017-12-01T00:00:00.000Z</x:v>
      </x:c>
      <x:c r="B317" s="2" t="str">
        <x:v>SE</x:v>
      </x:c>
      <x:c r="C317" s="8" t="n">
        <x:v>20</x:v>
      </x:c>
      <x:c r="D317" s="8" t="n">
        <x:v>20</x:v>
      </x:c>
      <x:c r="E317" s="9" t="n">
        <x:v>3147.78</x:v>
      </x:c>
      <x:c r="F317" s="9" t="n">
        <x:v>904.14</x:v>
      </x:c>
      <x:c r="G317" s="8" t="n">
        <x:v>20</x:v>
      </x:c>
      <x:c r="H317" s="8" t="n">
        <x:v>3</x:v>
      </x:c>
      <x:c r="I317" s="8" t="n">
        <x:v>489.9463194444</x:v>
      </x:c>
      <x:c r="J317" s="8" t="n">
        <x:v>20</x:v>
      </x:c>
      <x:c r="K317" s="8" t="n">
        <x:v>3</x:v>
      </x:c>
      <x:c r="L317" s="2"/>
      <x:c r="M317" s="2"/>
      <x:c r="N317" s="2"/>
    </x:row>
    <x:row r="318" ht="22" customHeight="1">
      <x:c r="A318" s="4" t="d">
        <x:v>2017-12-01T00:00:00.000Z</x:v>
      </x:c>
      <x:c r="B318" s="2" t="str">
        <x:v>SP</x:v>
      </x:c>
      <x:c r="C318" s="8" t="n">
        <x:v>2357</x:v>
      </x:c>
      <x:c r="D318" s="8" t="n">
        <x:v>2295</x:v>
      </x:c>
      <x:c r="E318" s="9" t="n">
        <x:v>274951.74</x:v>
      </x:c>
      <x:c r="F318" s="9" t="n">
        <x:v>38150.77</x:v>
      </x:c>
      <x:c r="G318" s="8" t="n">
        <x:v>2295</x:v>
      </x:c>
      <x:c r="H318" s="8" t="n">
        <x:v>72</x:v>
      </x:c>
      <x:c r="I318" s="8" t="n">
        <x:v>23454.134537037</x:v>
      </x:c>
      <x:c r="J318" s="8" t="n">
        <x:v>2277</x:v>
      </x:c>
      <x:c r="K318" s="8" t="n">
        <x:v>235</x:v>
      </x:c>
      <x:c r="L318" s="2"/>
      <x:c r="M318" s="2"/>
      <x:c r="N318" s="2"/>
    </x:row>
    <x:row r="319" ht="22" customHeight="1">
      <x:c r="A319" s="4" t="d">
        <x:v>2017-12-01T00:00:00.000Z</x:v>
      </x:c>
      <x:c r="B319" s="2" t="str">
        <x:v>TO</x:v>
      </x:c>
      <x:c r="C319" s="8" t="n">
        <x:v>14</x:v>
      </x:c>
      <x:c r="D319" s="8" t="n">
        <x:v>14</x:v>
      </x:c>
      <x:c r="E319" s="9" t="n">
        <x:v>1457.01</x:v>
      </x:c>
      <x:c r="F319" s="9" t="n">
        <x:v>435.15</x:v>
      </x:c>
      <x:c r="G319" s="8" t="n">
        <x:v>14</x:v>
      </x:c>
      <x:c r="H319" s="8" t="n">
        <x:v>0</x:v>
      </x:c>
      <x:c r="I319" s="8" t="n">
        <x:v>265.0775115741</x:v>
      </x:c>
      <x:c r="J319" s="8" t="n">
        <x:v>14</x:v>
      </x:c>
      <x:c r="K319" s="8" t="n">
        <x:v>1</x:v>
      </x:c>
      <x:c r="L319" s="2"/>
      <x:c r="M319" s="2"/>
      <x:c r="N319" s="2"/>
    </x:row>
    <x:row r="320" ht="22" customHeight="1">
      <x:c r="A320" s="4" t="d">
        <x:v>2018-01-01T00:00:00.000Z</x:v>
      </x:c>
      <x:c r="B320" s="2" t="str">
        <x:v>AC</x:v>
      </x:c>
      <x:c r="C320" s="8" t="n">
        <x:v>6</x:v>
      </x:c>
      <x:c r="D320" s="8" t="n">
        <x:v>6</x:v>
      </x:c>
      <x:c r="E320" s="9" t="n">
        <x:v>882.94</x:v>
      </x:c>
      <x:c r="F320" s="9" t="n">
        <x:v>274.95</x:v>
      </x:c>
      <x:c r="G320" s="8" t="n">
        <x:v>6</x:v>
      </x:c>
      <x:c r="H320" s="8" t="n">
        <x:v>0</x:v>
      </x:c>
      <x:c r="I320" s="8" t="n">
        <x:v>112.4545138889</x:v>
      </x:c>
      <x:c r="J320" s="8" t="n">
        <x:v>6</x:v>
      </x:c>
      <x:c r="K320" s="8" t="n">
        <x:v>0</x:v>
      </x:c>
      <x:c r="L320" s="2"/>
      <x:c r="M320" s="2"/>
      <x:c r="N320" s="2"/>
    </x:row>
    <x:row r="321" ht="22" customHeight="1">
      <x:c r="A321" s="4" t="d">
        <x:v>2018-01-01T00:00:00.000Z</x:v>
      </x:c>
      <x:c r="B321" s="2" t="str">
        <x:v>AL</x:v>
      </x:c>
      <x:c r="C321" s="8" t="n">
        <x:v>37</x:v>
      </x:c>
      <x:c r="D321" s="8" t="n">
        <x:v>36</x:v>
      </x:c>
      <x:c r="E321" s="9" t="n">
        <x:v>5009.28</x:v>
      </x:c>
      <x:c r="F321" s="9" t="n">
        <x:v>1209.14</x:v>
      </x:c>
      <x:c r="G321" s="8" t="n">
        <x:v>36</x:v>
      </x:c>
      <x:c r="H321" s="8" t="n">
        <x:v>12</x:v>
      </x:c>
      <x:c r="I321" s="8" t="n">
        <x:v>1003.5272453704</x:v>
      </x:c>
      <x:c r="J321" s="8" t="n">
        <x:v>36</x:v>
      </x:c>
      <x:c r="K321" s="8" t="n">
        <x:v>13</x:v>
      </x:c>
      <x:c r="L321" s="2"/>
      <x:c r="M321" s="2"/>
      <x:c r="N321" s="2"/>
    </x:row>
    <x:row r="322" ht="22" customHeight="1">
      <x:c r="A322" s="4" t="d">
        <x:v>2018-01-01T00:00:00.000Z</x:v>
      </x:c>
      <x:c r="B322" s="2" t="str">
        <x:v>AM</x:v>
      </x:c>
      <x:c r="C322" s="8" t="n">
        <x:v>12</x:v>
      </x:c>
      <x:c r="D322" s="8" t="n">
        <x:v>12</x:v>
      </x:c>
      <x:c r="E322" s="9" t="n">
        <x:v>2925.65</x:v>
      </x:c>
      <x:c r="F322" s="9" t="n">
        <x:v>507.81</x:v>
      </x:c>
      <x:c r="G322" s="8" t="n">
        <x:v>12</x:v>
      </x:c>
      <x:c r="H322" s="8" t="n">
        <x:v>0</x:v>
      </x:c>
      <x:c r="I322" s="8" t="n">
        <x:v>375.1647453704</x:v>
      </x:c>
      <x:c r="J322" s="8" t="n">
        <x:v>12</x:v>
      </x:c>
      <x:c r="K322" s="8" t="n">
        <x:v>3</x:v>
      </x:c>
      <x:c r="L322" s="2"/>
      <x:c r="M322" s="2"/>
      <x:c r="N322" s="2"/>
    </x:row>
    <x:row r="323" ht="22" customHeight="1">
      <x:c r="A323" s="4" t="d">
        <x:v>2018-01-01T00:00:00.000Z</x:v>
      </x:c>
      <x:c r="B323" s="2" t="str">
        <x:v>AP</x:v>
      </x:c>
      <x:c r="C323" s="8" t="n">
        <x:v>11</x:v>
      </x:c>
      <x:c r="D323" s="8" t="n">
        <x:v>11</x:v>
      </x:c>
      <x:c r="E323" s="9" t="n">
        <x:v>2393.67</x:v>
      </x:c>
      <x:c r="F323" s="9" t="n">
        <x:v>395.07</x:v>
      </x:c>
      <x:c r="G323" s="8" t="n">
        <x:v>11</x:v>
      </x:c>
      <x:c r="H323" s="8" t="n">
        <x:v>0</x:v>
      </x:c>
      <x:c r="I323" s="8" t="n">
        <x:v>274.3384606481</x:v>
      </x:c>
      <x:c r="J323" s="8" t="n">
        <x:v>11</x:v>
      </x:c>
      <x:c r="K323" s="8" t="n">
        <x:v>2</x:v>
      </x:c>
      <x:c r="L323" s="2"/>
      <x:c r="M323" s="2"/>
      <x:c r="N323" s="2"/>
    </x:row>
    <x:row r="324" ht="22" customHeight="1">
      <x:c r="A324" s="4" t="d">
        <x:v>2018-01-01T00:00:00.000Z</x:v>
      </x:c>
      <x:c r="B324" s="2" t="str">
        <x:v>BA</x:v>
      </x:c>
      <x:c r="C324" s="8" t="n">
        <x:v>239</x:v>
      </x:c>
      <x:c r="D324" s="8" t="n">
        <x:v>228</x:v>
      </x:c>
      <x:c r="E324" s="9" t="n">
        <x:v>36395.14</x:v>
      </x:c>
      <x:c r="F324" s="9" t="n">
        <x:v>7099.45</x:v>
      </x:c>
      <x:c r="G324" s="8" t="n">
        <x:v>228</x:v>
      </x:c>
      <x:c r="H324" s="8" t="n">
        <x:v>15</x:v>
      </x:c>
      <x:c r="I324" s="8" t="n">
        <x:v>4322.7918981481</x:v>
      </x:c>
      <x:c r="J324" s="8" t="n">
        <x:v>224</x:v>
      </x:c>
      <x:c r="K324" s="8" t="n">
        <x:v>40</x:v>
      </x:c>
      <x:c r="L324" s="2"/>
      <x:c r="M324" s="2"/>
      <x:c r="N324" s="2"/>
    </x:row>
    <x:row r="325" ht="22" customHeight="1">
      <x:c r="A325" s="4" t="d">
        <x:v>2018-01-01T00:00:00.000Z</x:v>
      </x:c>
      <x:c r="B325" s="2" t="str">
        <x:v>CE</x:v>
      </x:c>
      <x:c r="C325" s="8" t="n">
        <x:v>90</x:v>
      </x:c>
      <x:c r="D325" s="8" t="n">
        <x:v>77</x:v>
      </x:c>
      <x:c r="E325" s="9" t="n">
        <x:v>12064.16</x:v>
      </x:c>
      <x:c r="F325" s="9" t="n">
        <x:v>2693.1</x:v>
      </x:c>
      <x:c r="G325" s="8" t="n">
        <x:v>77</x:v>
      </x:c>
      <x:c r="H325" s="8" t="n">
        <x:v>9</x:v>
      </x:c>
      <x:c r="I325" s="8" t="n">
        <x:v>1904.8101967593</x:v>
      </x:c>
      <x:c r="J325" s="8" t="n">
        <x:v>74</x:v>
      </x:c>
      <x:c r="K325" s="8" t="n">
        <x:v>13</x:v>
      </x:c>
      <x:c r="L325" s="2"/>
      <x:c r="M325" s="2"/>
      <x:c r="N325" s="2"/>
    </x:row>
    <x:row r="326" ht="22" customHeight="1">
      <x:c r="A326" s="4" t="d">
        <x:v>2018-01-01T00:00:00.000Z</x:v>
      </x:c>
      <x:c r="B326" s="2" t="str">
        <x:v>DF</x:v>
      </x:c>
      <x:c r="C326" s="8" t="n">
        <x:v>138</x:v>
      </x:c>
      <x:c r="D326" s="8" t="n">
        <x:v>135</x:v>
      </x:c>
      <x:c r="E326" s="9" t="n">
        <x:v>17435.68</x:v>
      </x:c>
      <x:c r="F326" s="9" t="n">
        <x:v>2917.67</x:v>
      </x:c>
      <x:c r="G326" s="8" t="n">
        <x:v>135</x:v>
      </x:c>
      <x:c r="H326" s="8" t="n">
        <x:v>4</x:v>
      </x:c>
      <x:c r="I326" s="8" t="n">
        <x:v>1736.3299884259</x:v>
      </x:c>
      <x:c r="J326" s="8" t="n">
        <x:v>134</x:v>
      </x:c>
      <x:c r="K326" s="8" t="n">
        <x:v>18</x:v>
      </x:c>
      <x:c r="L326" s="2"/>
      <x:c r="M326" s="2"/>
      <x:c r="N326" s="2"/>
    </x:row>
    <x:row r="327" ht="22" customHeight="1">
      <x:c r="A327" s="4" t="d">
        <x:v>2018-01-01T00:00:00.000Z</x:v>
      </x:c>
      <x:c r="B327" s="2" t="str">
        <x:v>ES</x:v>
      </x:c>
      <x:c r="C327" s="8" t="n">
        <x:v>147</x:v>
      </x:c>
      <x:c r="D327" s="8" t="n">
        <x:v>145</x:v>
      </x:c>
      <x:c r="E327" s="9" t="n">
        <x:v>20095.42</x:v>
      </x:c>
      <x:c r="F327" s="9" t="n">
        <x:v>3432.8</x:v>
      </x:c>
      <x:c r="G327" s="8" t="n">
        <x:v>145</x:v>
      </x:c>
      <x:c r="H327" s="8" t="n">
        <x:v>14</x:v>
      </x:c>
      <x:c r="I327" s="8" t="n">
        <x:v>2402.9627893519</x:v>
      </x:c>
      <x:c r="J327" s="8" t="n">
        <x:v>144</x:v>
      </x:c>
      <x:c r="K327" s="8" t="n">
        <x:v>14</x:v>
      </x:c>
      <x:c r="L327" s="2"/>
      <x:c r="M327" s="2"/>
      <x:c r="N327" s="2"/>
    </x:row>
    <x:row r="328" ht="22" customHeight="1">
      <x:c r="A328" s="4" t="d">
        <x:v>2018-01-01T00:00:00.000Z</x:v>
      </x:c>
      <x:c r="B328" s="2" t="str">
        <x:v>GO</x:v>
      </x:c>
      <x:c r="C328" s="8" t="n">
        <x:v>146</x:v>
      </x:c>
      <x:c r="D328" s="8" t="n">
        <x:v>144</x:v>
      </x:c>
      <x:c r="E328" s="9" t="n">
        <x:v>16713.29</x:v>
      </x:c>
      <x:c r="F328" s="9" t="n">
        <x:v>3246.21</x:v>
      </x:c>
      <x:c r="G328" s="8" t="n">
        <x:v>144</x:v>
      </x:c>
      <x:c r="H328" s="8" t="n">
        <x:v>7</x:v>
      </x:c>
      <x:c r="I328" s="8" t="n">
        <x:v>2314.547962963</x:v>
      </x:c>
      <x:c r="J328" s="8" t="n">
        <x:v>143</x:v>
      </x:c>
      <x:c r="K328" s="8" t="n">
        <x:v>16</x:v>
      </x:c>
      <x:c r="L328" s="2"/>
      <x:c r="M328" s="2"/>
      <x:c r="N328" s="2"/>
    </x:row>
    <x:row r="329" ht="22" customHeight="1">
      <x:c r="A329" s="4" t="d">
        <x:v>2018-01-01T00:00:00.000Z</x:v>
      </x:c>
      <x:c r="B329" s="2" t="str">
        <x:v>MA</x:v>
      </x:c>
      <x:c r="C329" s="8" t="n">
        <x:v>57</x:v>
      </x:c>
      <x:c r="D329" s="8" t="n">
        <x:v>55</x:v>
      </x:c>
      <x:c r="E329" s="9" t="n">
        <x:v>8706.52</x:v>
      </x:c>
      <x:c r="F329" s="9" t="n">
        <x:v>2384.11</x:v>
      </x:c>
      <x:c r="G329" s="8" t="n">
        <x:v>55</x:v>
      </x:c>
      <x:c r="H329" s="8" t="n">
        <x:v>4</x:v>
      </x:c>
      <x:c r="I329" s="8" t="n">
        <x:v>1082.716712963</x:v>
      </x:c>
      <x:c r="J329" s="8" t="n">
        <x:v>54</x:v>
      </x:c>
      <x:c r="K329" s="8" t="n">
        <x:v>7</x:v>
      </x:c>
      <x:c r="L329" s="2"/>
      <x:c r="M329" s="2"/>
      <x:c r="N329" s="2"/>
    </x:row>
    <x:row r="330" ht="22" customHeight="1">
      <x:c r="A330" s="4" t="d">
        <x:v>2018-01-01T00:00:00.000Z</x:v>
      </x:c>
      <x:c r="B330" s="2" t="str">
        <x:v>MG</x:v>
      </x:c>
      <x:c r="C330" s="8" t="n">
        <x:v>863</x:v>
      </x:c>
      <x:c r="D330" s="8" t="n">
        <x:v>846</x:v>
      </x:c>
      <x:c r="E330" s="9" t="n">
        <x:v>113543.88</x:v>
      </x:c>
      <x:c r="F330" s="9" t="n">
        <x:v>19033.91</x:v>
      </x:c>
      <x:c r="G330" s="8" t="n">
        <x:v>846</x:v>
      </x:c>
      <x:c r="H330" s="8" t="n">
        <x:v>26</x:v>
      </x:c>
      <x:c r="I330" s="8" t="n">
        <x:v>10806.4095949074</x:v>
      </x:c>
      <x:c r="J330" s="8" t="n">
        <x:v>843</x:v>
      </x:c>
      <x:c r="K330" s="8" t="n">
        <x:v>90</x:v>
      </x:c>
      <x:c r="L330" s="2"/>
      <x:c r="M330" s="2"/>
      <x:c r="N330" s="2"/>
    </x:row>
    <x:row r="331" ht="22" customHeight="1">
      <x:c r="A331" s="4" t="d">
        <x:v>2018-01-01T00:00:00.000Z</x:v>
      </x:c>
      <x:c r="B331" s="2" t="str">
        <x:v>MS</x:v>
      </x:c>
      <x:c r="C331" s="8" t="n">
        <x:v>70</x:v>
      </x:c>
      <x:c r="D331" s="8" t="n">
        <x:v>70</x:v>
      </x:c>
      <x:c r="E331" s="9" t="n">
        <x:v>10100.76</x:v>
      </x:c>
      <x:c r="F331" s="9" t="n">
        <x:v>1929.12</x:v>
      </x:c>
      <x:c r="G331" s="8" t="n">
        <x:v>70</x:v>
      </x:c>
      <x:c r="H331" s="8" t="n">
        <x:v>3</x:v>
      </x:c>
      <x:c r="I331" s="8" t="n">
        <x:v>1073.7604398148</x:v>
      </x:c>
      <x:c r="J331" s="8" t="n">
        <x:v>70</x:v>
      </x:c>
      <x:c r="K331" s="8" t="n">
        <x:v>7</x:v>
      </x:c>
      <x:c r="L331" s="2"/>
      <x:c r="M331" s="2"/>
      <x:c r="N331" s="2"/>
    </x:row>
    <x:row r="332" ht="22" customHeight="1">
      <x:c r="A332" s="4" t="d">
        <x:v>2018-01-01T00:00:00.000Z</x:v>
      </x:c>
      <x:c r="B332" s="2" t="str">
        <x:v>MT</x:v>
      </x:c>
      <x:c r="C332" s="8" t="n">
        <x:v>85</x:v>
      </x:c>
      <x:c r="D332" s="8" t="n">
        <x:v>83</x:v>
      </x:c>
      <x:c r="E332" s="9" t="n">
        <x:v>10535.7</x:v>
      </x:c>
      <x:c r="F332" s="9" t="n">
        <x:v>2230.57</x:v>
      </x:c>
      <x:c r="G332" s="8" t="n">
        <x:v>83</x:v>
      </x:c>
      <x:c r="H332" s="8" t="n">
        <x:v>3</x:v>
      </x:c>
      <x:c r="I332" s="8" t="n">
        <x:v>1599.2087152778</x:v>
      </x:c>
      <x:c r="J332" s="8" t="n">
        <x:v>82</x:v>
      </x:c>
      <x:c r="K332" s="8" t="n">
        <x:v>13</x:v>
      </x:c>
      <x:c r="L332" s="2"/>
      <x:c r="M332" s="2"/>
      <x:c r="N332" s="2"/>
    </x:row>
    <x:row r="333" ht="22" customHeight="1">
      <x:c r="A333" s="4" t="d">
        <x:v>2018-01-01T00:00:00.000Z</x:v>
      </x:c>
      <x:c r="B333" s="2" t="str">
        <x:v>PA</x:v>
      </x:c>
      <x:c r="C333" s="8" t="n">
        <x:v>70</x:v>
      </x:c>
      <x:c r="D333" s="8" t="n">
        <x:v>69</x:v>
      </x:c>
      <x:c r="E333" s="9" t="n">
        <x:v>13987.87</x:v>
      </x:c>
      <x:c r="F333" s="9" t="n">
        <x:v>2745.93</x:v>
      </x:c>
      <x:c r="G333" s="8" t="n">
        <x:v>69</x:v>
      </x:c>
      <x:c r="H333" s="8" t="n">
        <x:v>6</x:v>
      </x:c>
      <x:c r="I333" s="8" t="n">
        <x:v>1786.2323032407</x:v>
      </x:c>
      <x:c r="J333" s="8" t="n">
        <x:v>68</x:v>
      </x:c>
      <x:c r="K333" s="8" t="n">
        <x:v>14</x:v>
      </x:c>
      <x:c r="L333" s="2"/>
      <x:c r="M333" s="2"/>
      <x:c r="N333" s="2"/>
    </x:row>
    <x:row r="334" ht="22" customHeight="1">
      <x:c r="A334" s="4" t="d">
        <x:v>2018-01-01T00:00:00.000Z</x:v>
      </x:c>
      <x:c r="B334" s="2" t="str">
        <x:v>PB</x:v>
      </x:c>
      <x:c r="C334" s="8" t="n">
        <x:v>31</x:v>
      </x:c>
      <x:c r="D334" s="8" t="n">
        <x:v>31</x:v>
      </x:c>
      <x:c r="E334" s="9" t="n">
        <x:v>6800.29</x:v>
      </x:c>
      <x:c r="F334" s="9" t="n">
        <x:v>1222.23</x:v>
      </x:c>
      <x:c r="G334" s="8" t="n">
        <x:v>31</x:v>
      </x:c>
      <x:c r="H334" s="8" t="n">
        <x:v>4</x:v>
      </x:c>
      <x:c r="I334" s="8" t="n">
        <x:v>686.4618171296</x:v>
      </x:c>
      <x:c r="J334" s="8" t="n">
        <x:v>31</x:v>
      </x:c>
      <x:c r="K334" s="8" t="n">
        <x:v>3</x:v>
      </x:c>
      <x:c r="L334" s="2"/>
      <x:c r="M334" s="2"/>
      <x:c r="N334" s="2"/>
    </x:row>
    <x:row r="335" ht="22" customHeight="1">
      <x:c r="A335" s="4" t="d">
        <x:v>2018-01-01T00:00:00.000Z</x:v>
      </x:c>
      <x:c r="B335" s="2" t="str">
        <x:v>PE</x:v>
      </x:c>
      <x:c r="C335" s="8" t="n">
        <x:v>104</x:v>
      </x:c>
      <x:c r="D335" s="8" t="n">
        <x:v>102</x:v>
      </x:c>
      <x:c r="E335" s="9" t="n">
        <x:v>13942.63</x:v>
      </x:c>
      <x:c r="F335" s="9" t="n">
        <x:v>3255.53</x:v>
      </x:c>
      <x:c r="G335" s="8" t="n">
        <x:v>102</x:v>
      </x:c>
      <x:c r="H335" s="8" t="n">
        <x:v>8</x:v>
      </x:c>
      <x:c r="I335" s="8" t="n">
        <x:v>1962.2244560185</x:v>
      </x:c>
      <x:c r="J335" s="8" t="n">
        <x:v>101</x:v>
      </x:c>
      <x:c r="K335" s="8" t="n">
        <x:v>15</x:v>
      </x:c>
      <x:c r="L335" s="2"/>
      <x:c r="M335" s="2"/>
      <x:c r="N335" s="2"/>
    </x:row>
    <x:row r="336" ht="22" customHeight="1">
      <x:c r="A336" s="4" t="d">
        <x:v>2018-01-01T00:00:00.000Z</x:v>
      </x:c>
      <x:c r="B336" s="2" t="str">
        <x:v>PI</x:v>
      </x:c>
      <x:c r="C336" s="8" t="n">
        <x:v>48</x:v>
      </x:c>
      <x:c r="D336" s="8" t="n">
        <x:v>47</x:v>
      </x:c>
      <x:c r="E336" s="9" t="n">
        <x:v>6724.17</x:v>
      </x:c>
      <x:c r="F336" s="9" t="n">
        <x:v>1853.11</x:v>
      </x:c>
      <x:c r="G336" s="8" t="n">
        <x:v>47</x:v>
      </x:c>
      <x:c r="H336" s="8" t="n">
        <x:v>5</x:v>
      </x:c>
      <x:c r="I336" s="8" t="n">
        <x:v>913.2029282407</x:v>
      </x:c>
      <x:c r="J336" s="8" t="n">
        <x:v>47</x:v>
      </x:c>
      <x:c r="K336" s="8" t="n">
        <x:v>8</x:v>
      </x:c>
      <x:c r="L336" s="2"/>
      <x:c r="M336" s="2"/>
      <x:c r="N336" s="2"/>
    </x:row>
    <x:row r="337" ht="22" customHeight="1">
      <x:c r="A337" s="4" t="d">
        <x:v>2018-01-01T00:00:00.000Z</x:v>
      </x:c>
      <x:c r="B337" s="2" t="str">
        <x:v>PR</x:v>
      </x:c>
      <x:c r="C337" s="8" t="n">
        <x:v>378</x:v>
      </x:c>
      <x:c r="D337" s="8" t="n">
        <x:v>371</x:v>
      </x:c>
      <x:c r="E337" s="9" t="n">
        <x:v>43998.6</x:v>
      </x:c>
      <x:c r="F337" s="9" t="n">
        <x:v>7706.51</x:v>
      </x:c>
      <x:c r="G337" s="8" t="n">
        <x:v>371</x:v>
      </x:c>
      <x:c r="H337" s="8" t="n">
        <x:v>6</x:v>
      </x:c>
      <x:c r="I337" s="8" t="n">
        <x:v>5103.2746064815</x:v>
      </x:c>
      <x:c r="J337" s="8" t="n">
        <x:v>368</x:v>
      </x:c>
      <x:c r="K337" s="8" t="n">
        <x:v>43</x:v>
      </x:c>
      <x:c r="L337" s="2"/>
      <x:c r="M337" s="2"/>
      <x:c r="N337" s="2"/>
    </x:row>
    <x:row r="338" ht="22" customHeight="1">
      <x:c r="A338" s="4" t="d">
        <x:v>2018-01-01T00:00:00.000Z</x:v>
      </x:c>
      <x:c r="B338" s="2" t="str">
        <x:v>RJ</x:v>
      </x:c>
      <x:c r="C338" s="8" t="n">
        <x:v>893</x:v>
      </x:c>
      <x:c r="D338" s="8" t="n">
        <x:v>850</x:v>
      </x:c>
      <x:c r="E338" s="9" t="n">
        <x:v>117268.05</x:v>
      </x:c>
      <x:c r="F338" s="9" t="n">
        <x:v>20072.04</x:v>
      </x:c>
      <x:c r="G338" s="8" t="n">
        <x:v>850</x:v>
      </x:c>
      <x:c r="H338" s="8" t="n">
        <x:v>111</x:v>
      </x:c>
      <x:c r="I338" s="8" t="n">
        <x:v>15607.3974305556</x:v>
      </x:c>
      <x:c r="J338" s="8" t="n">
        <x:v>840</x:v>
      </x:c>
      <x:c r="K338" s="8" t="n">
        <x:v>180</x:v>
      </x:c>
      <x:c r="L338" s="2"/>
      <x:c r="M338" s="2"/>
      <x:c r="N338" s="2"/>
    </x:row>
    <x:row r="339" ht="22" customHeight="1">
      <x:c r="A339" s="4" t="d">
        <x:v>2018-01-01T00:00:00.000Z</x:v>
      </x:c>
      <x:c r="B339" s="2" t="str">
        <x:v>RN</x:v>
      </x:c>
      <x:c r="C339" s="8" t="n">
        <x:v>46</x:v>
      </x:c>
      <x:c r="D339" s="8" t="n">
        <x:v>42</x:v>
      </x:c>
      <x:c r="E339" s="9" t="n">
        <x:v>5527.85</x:v>
      </x:c>
      <x:c r="F339" s="9" t="n">
        <x:v>1305.7</x:v>
      </x:c>
      <x:c r="G339" s="8" t="n">
        <x:v>42</x:v>
      </x:c>
      <x:c r="H339" s="8" t="n">
        <x:v>1</x:v>
      </x:c>
      <x:c r="I339" s="8" t="n">
        <x:v>645.3300925926</x:v>
      </x:c>
      <x:c r="J339" s="8" t="n">
        <x:v>42</x:v>
      </x:c>
      <x:c r="K339" s="8" t="n">
        <x:v>2</x:v>
      </x:c>
      <x:c r="L339" s="2"/>
      <x:c r="M339" s="2"/>
      <x:c r="N339" s="2"/>
    </x:row>
    <x:row r="340" ht="22" customHeight="1">
      <x:c r="A340" s="4" t="d">
        <x:v>2018-01-01T00:00:00.000Z</x:v>
      </x:c>
      <x:c r="B340" s="2" t="str">
        <x:v>RO</x:v>
      </x:c>
      <x:c r="C340" s="8" t="n">
        <x:v>20</x:v>
      </x:c>
      <x:c r="D340" s="8" t="n">
        <x:v>20</x:v>
      </x:c>
      <x:c r="E340" s="9" t="n">
        <x:v>2286.76</x:v>
      </x:c>
      <x:c r="F340" s="9" t="n">
        <x:v>803.34</x:v>
      </x:c>
      <x:c r="G340" s="8" t="n">
        <x:v>20</x:v>
      </x:c>
      <x:c r="H340" s="8" t="n">
        <x:v>1</x:v>
      </x:c>
      <x:c r="I340" s="8" t="n">
        <x:v>494.385162037</x:v>
      </x:c>
      <x:c r="J340" s="8" t="n">
        <x:v>20</x:v>
      </x:c>
      <x:c r="K340" s="8" t="n">
        <x:v>2</x:v>
      </x:c>
      <x:c r="L340" s="2"/>
      <x:c r="M340" s="2"/>
      <x:c r="N340" s="2"/>
    </x:row>
    <x:row r="341" ht="22" customHeight="1">
      <x:c r="A341" s="4" t="d">
        <x:v>2018-01-01T00:00:00.000Z</x:v>
      </x:c>
      <x:c r="B341" s="2" t="str">
        <x:v>RR</x:v>
      </x:c>
      <x:c r="C341" s="8" t="n">
        <x:v>2</x:v>
      </x:c>
      <x:c r="D341" s="8" t="n">
        <x:v>1</x:v>
      </x:c>
      <x:c r="E341" s="9" t="n">
        <x:v>129</x:v>
      </x:c>
      <x:c r="F341" s="9" t="n">
        <x:v>33.79</x:v>
      </x:c>
      <x:c r="G341" s="8" t="n">
        <x:v>1</x:v>
      </x:c>
      <x:c r="H341" s="8" t="n">
        <x:v>0</x:v>
      </x:c>
      <x:c r="I341" s="8" t="n">
        <x:v>25.0073032407</x:v>
      </x:c>
      <x:c r="J341" s="8" t="n">
        <x:v>1</x:v>
      </x:c>
      <x:c r="K341" s="8" t="n">
        <x:v>0</x:v>
      </x:c>
      <x:c r="L341" s="2"/>
      <x:c r="M341" s="2"/>
      <x:c r="N341" s="2"/>
    </x:row>
    <x:row r="342" ht="22" customHeight="1">
      <x:c r="A342" s="4" t="d">
        <x:v>2018-01-01T00:00:00.000Z</x:v>
      </x:c>
      <x:c r="B342" s="2" t="str">
        <x:v>RS</x:v>
      </x:c>
      <x:c r="C342" s="8" t="n">
        <x:v>373</x:v>
      </x:c>
      <x:c r="D342" s="8" t="n">
        <x:v>367</x:v>
      </x:c>
      <x:c r="E342" s="9" t="n">
        <x:v>46214.29</x:v>
      </x:c>
      <x:c r="F342" s="9" t="n">
        <x:v>8594.99</x:v>
      </x:c>
      <x:c r="G342" s="8" t="n">
        <x:v>367</x:v>
      </x:c>
      <x:c r="H342" s="8" t="n">
        <x:v>30</x:v>
      </x:c>
      <x:c r="I342" s="8" t="n">
        <x:v>6978.0653356481</x:v>
      </x:c>
      <x:c r="J342" s="8" t="n">
        <x:v>366</x:v>
      </x:c>
      <x:c r="K342" s="8" t="n">
        <x:v>47</x:v>
      </x:c>
      <x:c r="L342" s="2"/>
      <x:c r="M342" s="2"/>
      <x:c r="N342" s="2"/>
    </x:row>
    <x:row r="343" ht="22" customHeight="1">
      <x:c r="A343" s="4" t="d">
        <x:v>2018-01-01T00:00:00.000Z</x:v>
      </x:c>
      <x:c r="B343" s="2" t="str">
        <x:v>SC</x:v>
      </x:c>
      <x:c r="C343" s="8" t="n">
        <x:v>314</x:v>
      </x:c>
      <x:c r="D343" s="8" t="n">
        <x:v>311</x:v>
      </x:c>
      <x:c r="E343" s="9" t="n">
        <x:v>37192.63</x:v>
      </x:c>
      <x:c r="F343" s="9" t="n">
        <x:v>7303.1</x:v>
      </x:c>
      <x:c r="G343" s="8" t="n">
        <x:v>311</x:v>
      </x:c>
      <x:c r="H343" s="8" t="n">
        <x:v>31</x:v>
      </x:c>
      <x:c r="I343" s="8" t="n">
        <x:v>5985.4578125</x:v>
      </x:c>
      <x:c r="J343" s="8" t="n">
        <x:v>305</x:v>
      </x:c>
      <x:c r="K343" s="8" t="n">
        <x:v>54</x:v>
      </x:c>
      <x:c r="L343" s="2"/>
      <x:c r="M343" s="2"/>
      <x:c r="N343" s="2"/>
    </x:row>
    <x:row r="344" ht="22" customHeight="1">
      <x:c r="A344" s="4" t="d">
        <x:v>2018-01-01T00:00:00.000Z</x:v>
      </x:c>
      <x:c r="B344" s="2" t="str">
        <x:v>SE</x:v>
      </x:c>
      <x:c r="C344" s="8" t="n">
        <x:v>20</x:v>
      </x:c>
      <x:c r="D344" s="8" t="n">
        <x:v>19</x:v>
      </x:c>
      <x:c r="E344" s="9" t="n">
        <x:v>3038.3</x:v>
      </x:c>
      <x:c r="F344" s="9" t="n">
        <x:v>650.97</x:v>
      </x:c>
      <x:c r="G344" s="8" t="n">
        <x:v>19</x:v>
      </x:c>
      <x:c r="H344" s="8" t="n">
        <x:v>1</x:v>
      </x:c>
      <x:c r="I344" s="8" t="n">
        <x:v>371.0449768519</x:v>
      </x:c>
      <x:c r="J344" s="8" t="n">
        <x:v>19</x:v>
      </x:c>
      <x:c r="K344" s="8" t="n">
        <x:v>2</x:v>
      </x:c>
      <x:c r="L344" s="2"/>
      <x:c r="M344" s="2"/>
      <x:c r="N344" s="2"/>
    </x:row>
    <x:row r="345" ht="22" customHeight="1">
      <x:c r="A345" s="4" t="d">
        <x:v>2018-01-01T00:00:00.000Z</x:v>
      </x:c>
      <x:c r="B345" s="2" t="str">
        <x:v>SP</x:v>
      </x:c>
      <x:c r="C345" s="8" t="n">
        <x:v>3052</x:v>
      </x:c>
      <x:c r="D345" s="8" t="n">
        <x:v>2975</x:v>
      </x:c>
      <x:c r="E345" s="9" t="n">
        <x:v>368611.43</x:v>
      </x:c>
      <x:c r="F345" s="9" t="n">
        <x:v>49681.06</x:v>
      </x:c>
      <x:c r="G345" s="8" t="n">
        <x:v>2975</x:v>
      </x:c>
      <x:c r="H345" s="8" t="n">
        <x:v>102</x:v>
      </x:c>
      <x:c r="I345" s="8" t="n">
        <x:v>29672.6457986111</x:v>
      </x:c>
      <x:c r="J345" s="8" t="n">
        <x:v>2956</x:v>
      </x:c>
      <x:c r="K345" s="8" t="n">
        <x:v>352</x:v>
      </x:c>
      <x:c r="L345" s="2"/>
      <x:c r="M345" s="2"/>
      <x:c r="N345" s="2"/>
    </x:row>
    <x:row r="346" ht="22" customHeight="1">
      <x:c r="A346" s="4" t="d">
        <x:v>2018-01-01T00:00:00.000Z</x:v>
      </x:c>
      <x:c r="B346" s="2" t="str">
        <x:v>TO</x:v>
      </x:c>
      <x:c r="C346" s="8" t="n">
        <x:v>17</x:v>
      </x:c>
      <x:c r="D346" s="8" t="n">
        <x:v>16</x:v>
      </x:c>
      <x:c r="E346" s="9" t="n">
        <x:v>2121.04</x:v>
      </x:c>
      <x:c r="F346" s="9" t="n">
        <x:v>660.25</x:v>
      </x:c>
      <x:c r="G346" s="8" t="n">
        <x:v>16</x:v>
      </x:c>
      <x:c r="H346" s="8" t="n">
        <x:v>0</x:v>
      </x:c>
      <x:c r="I346" s="8" t="n">
        <x:v>295.7438310185</x:v>
      </x:c>
      <x:c r="J346" s="8" t="n">
        <x:v>16</x:v>
      </x:c>
      <x:c r="K346" s="8" t="n">
        <x:v>3</x:v>
      </x:c>
      <x:c r="L346" s="2"/>
      <x:c r="M346" s="2"/>
      <x:c r="N346" s="2"/>
    </x:row>
    <x:row r="347" ht="22" customHeight="1">
      <x:c r="A347" s="4" t="d">
        <x:v>2018-02-01T00:00:00.000Z</x:v>
      </x:c>
      <x:c r="B347" s="2" t="str">
        <x:v>AC</x:v>
      </x:c>
      <x:c r="C347" s="8" t="n">
        <x:v>3</x:v>
      </x:c>
      <x:c r="D347" s="8" t="n">
        <x:v>3</x:v>
      </x:c>
      <x:c r="E347" s="9" t="n">
        <x:v>201.83</x:v>
      </x:c>
      <x:c r="F347" s="9" t="n">
        <x:v>97.39</x:v>
      </x:c>
      <x:c r="G347" s="8" t="n">
        <x:v>3</x:v>
      </x:c>
      <x:c r="H347" s="8" t="n">
        <x:v>0</x:v>
      </x:c>
      <x:c r="I347" s="8" t="n">
        <x:v>69.4194560185</x:v>
      </x:c>
      <x:c r="J347" s="8" t="n">
        <x:v>3</x:v>
      </x:c>
      <x:c r="K347" s="8" t="n">
        <x:v>0</x:v>
      </x:c>
      <x:c r="L347" s="2"/>
      <x:c r="M347" s="2"/>
      <x:c r="N347" s="2"/>
    </x:row>
    <x:row r="348" ht="22" customHeight="1">
      <x:c r="A348" s="4" t="d">
        <x:v>2018-02-01T00:00:00.000Z</x:v>
      </x:c>
      <x:c r="B348" s="2" t="str">
        <x:v>AL</x:v>
      </x:c>
      <x:c r="C348" s="8" t="n">
        <x:v>27</x:v>
      </x:c>
      <x:c r="D348" s="8" t="n">
        <x:v>27</x:v>
      </x:c>
      <x:c r="E348" s="9" t="n">
        <x:v>4593.07</x:v>
      </x:c>
      <x:c r="F348" s="9" t="n">
        <x:v>1087.78</x:v>
      </x:c>
      <x:c r="G348" s="8" t="n">
        <x:v>27</x:v>
      </x:c>
      <x:c r="H348" s="8" t="n">
        <x:v>10</x:v>
      </x:c>
      <x:c r="I348" s="8" t="n">
        <x:v>737.5782291667</x:v>
      </x:c>
      <x:c r="J348" s="8" t="n">
        <x:v>26</x:v>
      </x:c>
      <x:c r="K348" s="8" t="n">
        <x:v>9</x:v>
      </x:c>
      <x:c r="L348" s="2"/>
      <x:c r="M348" s="2"/>
      <x:c r="N348" s="2"/>
    </x:row>
    <x:row r="349" ht="22" customHeight="1">
      <x:c r="A349" s="4" t="d">
        <x:v>2018-02-01T00:00:00.000Z</x:v>
      </x:c>
      <x:c r="B349" s="2" t="str">
        <x:v>AM</x:v>
      </x:c>
      <x:c r="C349" s="8" t="n">
        <x:v>8</x:v>
      </x:c>
      <x:c r="D349" s="8" t="n">
        <x:v>8</x:v>
      </x:c>
      <x:c r="E349" s="9" t="n">
        <x:v>2028.62</x:v>
      </x:c>
      <x:c r="F349" s="9" t="n">
        <x:v>457.96</x:v>
      </x:c>
      <x:c r="G349" s="8" t="n">
        <x:v>8</x:v>
      </x:c>
      <x:c r="H349" s="8" t="n">
        <x:v>1</x:v>
      </x:c>
      <x:c r="I349" s="8" t="n">
        <x:v>264.7489236111</x:v>
      </x:c>
      <x:c r="J349" s="8" t="n">
        <x:v>8</x:v>
      </x:c>
      <x:c r="K349" s="8" t="n">
        <x:v>3</x:v>
      </x:c>
      <x:c r="L349" s="2"/>
      <x:c r="M349" s="2"/>
      <x:c r="N349" s="2"/>
    </x:row>
    <x:row r="350" ht="22" customHeight="1">
      <x:c r="A350" s="4" t="d">
        <x:v>2018-02-01T00:00:00.000Z</x:v>
      </x:c>
      <x:c r="B350" s="2" t="str">
        <x:v>AP</x:v>
      </x:c>
      <x:c r="C350" s="8" t="n">
        <x:v>2</x:v>
      </x:c>
      <x:c r="D350" s="8" t="n">
        <x:v>2</x:v>
      </x:c>
      <x:c r="E350" s="9" t="n">
        <x:v>1007.9</x:v>
      </x:c>
      <x:c r="F350" s="9" t="n">
        <x:v>78.41</x:v>
      </x:c>
      <x:c r="G350" s="8" t="n">
        <x:v>2</x:v>
      </x:c>
      <x:c r="H350" s="8" t="n">
        <x:v>0</x:v>
      </x:c>
      <x:c r="I350" s="8" t="n">
        <x:v>44.2899305556</x:v>
      </x:c>
      <x:c r="J350" s="8" t="n">
        <x:v>2</x:v>
      </x:c>
      <x:c r="K350" s="8" t="n">
        <x:v>0</x:v>
      </x:c>
      <x:c r="L350" s="2"/>
      <x:c r="M350" s="2"/>
      <x:c r="N350" s="2"/>
    </x:row>
    <x:row r="351" ht="22" customHeight="1">
      <x:c r="A351" s="4" t="d">
        <x:v>2018-02-01T00:00:00.000Z</x:v>
      </x:c>
      <x:c r="B351" s="2" t="str">
        <x:v>BA</x:v>
      </x:c>
      <x:c r="C351" s="8" t="n">
        <x:v>214</x:v>
      </x:c>
      <x:c r="D351" s="8" t="n">
        <x:v>208</x:v>
      </x:c>
      <x:c r="E351" s="9" t="n">
        <x:v>31583.02</x:v>
      </x:c>
      <x:c r="F351" s="9" t="n">
        <x:v>6010.92</x:v>
      </x:c>
      <x:c r="G351" s="8" t="n">
        <x:v>208</x:v>
      </x:c>
      <x:c r="H351" s="8" t="n">
        <x:v>40</x:v>
      </x:c>
      <x:c r="I351" s="8" t="n">
        <x:v>4845.1677083333</x:v>
      </x:c>
      <x:c r="J351" s="8" t="n">
        <x:v>208</x:v>
      </x:c>
      <x:c r="K351" s="8" t="n">
        <x:v>48</x:v>
      </x:c>
      <x:c r="L351" s="2"/>
      <x:c r="M351" s="2"/>
      <x:c r="N351" s="2"/>
    </x:row>
    <x:row r="352" ht="22" customHeight="1">
      <x:c r="A352" s="4" t="d">
        <x:v>2018-02-01T00:00:00.000Z</x:v>
      </x:c>
      <x:c r="B352" s="2" t="str">
        <x:v>CE</x:v>
      </x:c>
      <x:c r="C352" s="8" t="n">
        <x:v>88</x:v>
      </x:c>
      <x:c r="D352" s="8" t="n">
        <x:v>84</x:v>
      </x:c>
      <x:c r="E352" s="9" t="n">
        <x:v>9871.28</x:v>
      </x:c>
      <x:c r="F352" s="9" t="n">
        <x:v>2797.78</x:v>
      </x:c>
      <x:c r="G352" s="8" t="n">
        <x:v>84</x:v>
      </x:c>
      <x:c r="H352" s="8" t="n">
        <x:v>33</x:v>
      </x:c>
      <x:c r="I352" s="8" t="n">
        <x:v>2575.7486111111</x:v>
      </x:c>
      <x:c r="J352" s="8" t="n">
        <x:v>84</x:v>
      </x:c>
      <x:c r="K352" s="8" t="n">
        <x:v>37</x:v>
      </x:c>
      <x:c r="L352" s="2"/>
      <x:c r="M352" s="2"/>
      <x:c r="N352" s="2"/>
    </x:row>
    <x:row r="353" ht="22" customHeight="1">
      <x:c r="A353" s="4" t="d">
        <x:v>2018-02-01T00:00:00.000Z</x:v>
      </x:c>
      <x:c r="B353" s="2" t="str">
        <x:v>DF</x:v>
      </x:c>
      <x:c r="C353" s="8" t="n">
        <x:v>172</x:v>
      </x:c>
      <x:c r="D353" s="8" t="n">
        <x:v>170</x:v>
      </x:c>
      <x:c r="E353" s="9" t="n">
        <x:v>21145.48</x:v>
      </x:c>
      <x:c r="F353" s="9" t="n">
        <x:v>3504.91</x:v>
      </x:c>
      <x:c r="G353" s="8" t="n">
        <x:v>170</x:v>
      </x:c>
      <x:c r="H353" s="8" t="n">
        <x:v>20</x:v>
      </x:c>
      <x:c r="I353" s="8" t="n">
        <x:v>3205.6648842593</x:v>
      </x:c>
      <x:c r="J353" s="8" t="n">
        <x:v>170</x:v>
      </x:c>
      <x:c r="K353" s="8" t="n">
        <x:v>33</x:v>
      </x:c>
      <x:c r="L353" s="2"/>
      <x:c r="M353" s="2"/>
      <x:c r="N353" s="2"/>
    </x:row>
    <x:row r="354" ht="22" customHeight="1">
      <x:c r="A354" s="4" t="d">
        <x:v>2018-02-01T00:00:00.000Z</x:v>
      </x:c>
      <x:c r="B354" s="2" t="str">
        <x:v>ES</x:v>
      </x:c>
      <x:c r="C354" s="8" t="n">
        <x:v>152</x:v>
      </x:c>
      <x:c r="D354" s="8" t="n">
        <x:v>149</x:v>
      </x:c>
      <x:c r="E354" s="9" t="n">
        <x:v>16994.13</x:v>
      </x:c>
      <x:c r="F354" s="9" t="n">
        <x:v>3336.85</x:v>
      </x:c>
      <x:c r="G354" s="8" t="n">
        <x:v>149</x:v>
      </x:c>
      <x:c r="H354" s="8" t="n">
        <x:v>18</x:v>
      </x:c>
      <x:c r="I354" s="8" t="n">
        <x:v>2893.2737615741</x:v>
      </x:c>
      <x:c r="J354" s="8" t="n">
        <x:v>147</x:v>
      </x:c>
      <x:c r="K354" s="8" t="n">
        <x:v>24</x:v>
      </x:c>
      <x:c r="L354" s="2"/>
      <x:c r="M354" s="2"/>
      <x:c r="N354" s="2"/>
    </x:row>
    <x:row r="355" ht="22" customHeight="1">
      <x:c r="A355" s="4" t="d">
        <x:v>2018-02-01T00:00:00.000Z</x:v>
      </x:c>
      <x:c r="B355" s="2" t="str">
        <x:v>GO</x:v>
      </x:c>
      <x:c r="C355" s="8" t="n">
        <x:v>149</x:v>
      </x:c>
      <x:c r="D355" s="8" t="n">
        <x:v>146</x:v>
      </x:c>
      <x:c r="E355" s="9" t="n">
        <x:v>17702.23</x:v>
      </x:c>
      <x:c r="F355" s="9" t="n">
        <x:v>3557.08</x:v>
      </x:c>
      <x:c r="G355" s="8" t="n">
        <x:v>146</x:v>
      </x:c>
      <x:c r="H355" s="8" t="n">
        <x:v>23</x:v>
      </x:c>
      <x:c r="I355" s="8" t="n">
        <x:v>2932.1444444444</x:v>
      </x:c>
      <x:c r="J355" s="8" t="n">
        <x:v>144</x:v>
      </x:c>
      <x:c r="K355" s="8" t="n">
        <x:v>27</x:v>
      </x:c>
      <x:c r="L355" s="2"/>
      <x:c r="M355" s="2"/>
      <x:c r="N355" s="2"/>
    </x:row>
    <x:row r="356" ht="22" customHeight="1">
      <x:c r="A356" s="4" t="d">
        <x:v>2018-02-01T00:00:00.000Z</x:v>
      </x:c>
      <x:c r="B356" s="2" t="str">
        <x:v>MA</x:v>
      </x:c>
      <x:c r="C356" s="8" t="n">
        <x:v>56</x:v>
      </x:c>
      <x:c r="D356" s="8" t="n">
        <x:v>55</x:v>
      </x:c>
      <x:c r="E356" s="9" t="n">
        <x:v>9877.81</x:v>
      </x:c>
      <x:c r="F356" s="9" t="n">
        <x:v>2582.11</x:v>
      </x:c>
      <x:c r="G356" s="8" t="n">
        <x:v>55</x:v>
      </x:c>
      <x:c r="H356" s="8" t="n">
        <x:v>18</x:v>
      </x:c>
      <x:c r="I356" s="8" t="n">
        <x:v>1610.0595023148</x:v>
      </x:c>
      <x:c r="J356" s="8" t="n">
        <x:v>55</x:v>
      </x:c>
      <x:c r="K356" s="8" t="n">
        <x:v>18</x:v>
      </x:c>
      <x:c r="L356" s="2"/>
      <x:c r="M356" s="2"/>
      <x:c r="N356" s="2"/>
    </x:row>
    <x:row r="357" ht="22" customHeight="1">
      <x:c r="A357" s="4" t="d">
        <x:v>2018-02-01T00:00:00.000Z</x:v>
      </x:c>
      <x:c r="B357" s="2" t="str">
        <x:v>MG</x:v>
      </x:c>
      <x:c r="C357" s="8" t="n">
        <x:v>804</x:v>
      </x:c>
      <x:c r="D357" s="8" t="n">
        <x:v>790</x:v>
      </x:c>
      <x:c r="E357" s="9" t="n">
        <x:v>106746.23</x:v>
      </x:c>
      <x:c r="F357" s="9" t="n">
        <x:v>17368.6</x:v>
      </x:c>
      <x:c r="G357" s="8" t="n">
        <x:v>790</x:v>
      </x:c>
      <x:c r="H357" s="8" t="n">
        <x:v>66</x:v>
      </x:c>
      <x:c r="I357" s="8" t="n">
        <x:v>12451.5735532407</x:v>
      </x:c>
      <x:c r="J357" s="8" t="n">
        <x:v>783</x:v>
      </x:c>
      <x:c r="K357" s="8" t="n">
        <x:v>122</x:v>
      </x:c>
      <x:c r="L357" s="2"/>
      <x:c r="M357" s="2"/>
      <x:c r="N357" s="2"/>
    </x:row>
    <x:row r="358" ht="22" customHeight="1">
      <x:c r="A358" s="4" t="d">
        <x:v>2018-02-01T00:00:00.000Z</x:v>
      </x:c>
      <x:c r="B358" s="2" t="str">
        <x:v>MS</x:v>
      </x:c>
      <x:c r="C358" s="8" t="n">
        <x:v>64</x:v>
      </x:c>
      <x:c r="D358" s="8" t="n">
        <x:v>64</x:v>
      </x:c>
      <x:c r="E358" s="9" t="n">
        <x:v>8593.19</x:v>
      </x:c>
      <x:c r="F358" s="9" t="n">
        <x:v>1532.97</x:v>
      </x:c>
      <x:c r="G358" s="8" t="n">
        <x:v>64</x:v>
      </x:c>
      <x:c r="H358" s="8" t="n">
        <x:v>13</x:v>
      </x:c>
      <x:c r="I358" s="8" t="n">
        <x:v>1356.2831828704</x:v>
      </x:c>
      <x:c r="J358" s="8" t="n">
        <x:v>64</x:v>
      </x:c>
      <x:c r="K358" s="8" t="n">
        <x:v>11</x:v>
      </x:c>
      <x:c r="L358" s="2"/>
      <x:c r="M358" s="2"/>
      <x:c r="N358" s="2"/>
    </x:row>
    <x:row r="359" ht="22" customHeight="1">
      <x:c r="A359" s="4" t="d">
        <x:v>2018-02-01T00:00:00.000Z</x:v>
      </x:c>
      <x:c r="B359" s="2" t="str">
        <x:v>MT</x:v>
      </x:c>
      <x:c r="C359" s="8" t="n">
        <x:v>67</x:v>
      </x:c>
      <x:c r="D359" s="8" t="n">
        <x:v>67</x:v>
      </x:c>
      <x:c r="E359" s="9" t="n">
        <x:v>8172.69</x:v>
      </x:c>
      <x:c r="F359" s="9" t="n">
        <x:v>1674.59</x:v>
      </x:c>
      <x:c r="G359" s="8" t="n">
        <x:v>67</x:v>
      </x:c>
      <x:c r="H359" s="8" t="n">
        <x:v>8</x:v>
      </x:c>
      <x:c r="I359" s="8" t="n">
        <x:v>1486.191412037</x:v>
      </x:c>
      <x:c r="J359" s="8" t="n">
        <x:v>67</x:v>
      </x:c>
      <x:c r="K359" s="8" t="n">
        <x:v>9</x:v>
      </x:c>
      <x:c r="L359" s="2"/>
      <x:c r="M359" s="2"/>
      <x:c r="N359" s="2"/>
    </x:row>
    <x:row r="360" ht="22" customHeight="1">
      <x:c r="A360" s="4" t="d">
        <x:v>2018-02-01T00:00:00.000Z</x:v>
      </x:c>
      <x:c r="B360" s="2" t="str">
        <x:v>PA</x:v>
      </x:c>
      <x:c r="C360" s="8" t="n">
        <x:v>58</x:v>
      </x:c>
      <x:c r="D360" s="8" t="n">
        <x:v>57</x:v>
      </x:c>
      <x:c r="E360" s="9" t="n">
        <x:v>8921.71</x:v>
      </x:c>
      <x:c r="F360" s="9" t="n">
        <x:v>2025.47</x:v>
      </x:c>
      <x:c r="G360" s="8" t="n">
        <x:v>57</x:v>
      </x:c>
      <x:c r="H360" s="8" t="n">
        <x:v>7</x:v>
      </x:c>
      <x:c r="I360" s="8" t="n">
        <x:v>1687.9454050926</x:v>
      </x:c>
      <x:c r="J360" s="8" t="n">
        <x:v>56</x:v>
      </x:c>
      <x:c r="K360" s="8" t="n">
        <x:v>8</x:v>
      </x:c>
      <x:c r="L360" s="2"/>
      <x:c r="M360" s="2"/>
      <x:c r="N360" s="2"/>
    </x:row>
    <x:row r="361" ht="22" customHeight="1">
      <x:c r="A361" s="4" t="d">
        <x:v>2018-02-01T00:00:00.000Z</x:v>
      </x:c>
      <x:c r="B361" s="2" t="str">
        <x:v>PB</x:v>
      </x:c>
      <x:c r="C361" s="8" t="n">
        <x:v>35</x:v>
      </x:c>
      <x:c r="D361" s="8" t="n">
        <x:v>35</x:v>
      </x:c>
      <x:c r="E361" s="9" t="n">
        <x:v>4750.8</x:v>
      </x:c>
      <x:c r="F361" s="9" t="n">
        <x:v>1592.12</x:v>
      </x:c>
      <x:c r="G361" s="8" t="n">
        <x:v>35</x:v>
      </x:c>
      <x:c r="H361" s="8" t="n">
        <x:v>3</x:v>
      </x:c>
      <x:c r="I361" s="8" t="n">
        <x:v>675.3336689815</x:v>
      </x:c>
      <x:c r="J361" s="8" t="n">
        <x:v>35</x:v>
      </x:c>
      <x:c r="K361" s="8" t="n">
        <x:v>7</x:v>
      </x:c>
      <x:c r="L361" s="2"/>
      <x:c r="M361" s="2"/>
      <x:c r="N361" s="2"/>
    </x:row>
    <x:row r="362" ht="22" customHeight="1">
      <x:c r="A362" s="4" t="d">
        <x:v>2018-02-01T00:00:00.000Z</x:v>
      </x:c>
      <x:c r="B362" s="2" t="str">
        <x:v>PE</x:v>
      </x:c>
      <x:c r="C362" s="8" t="n">
        <x:v>125</x:v>
      </x:c>
      <x:c r="D362" s="8" t="n">
        <x:v>121</x:v>
      </x:c>
      <x:c r="E362" s="9" t="n">
        <x:v>16654.03</x:v>
      </x:c>
      <x:c r="F362" s="9" t="n">
        <x:v>3455.94</x:v>
      </x:c>
      <x:c r="G362" s="8" t="n">
        <x:v>121</x:v>
      </x:c>
      <x:c r="H362" s="8" t="n">
        <x:v>14</x:v>
      </x:c>
      <x:c r="I362" s="8" t="n">
        <x:v>2522.0061689815</x:v>
      </x:c>
      <x:c r="J362" s="8" t="n">
        <x:v>117</x:v>
      </x:c>
      <x:c r="K362" s="8" t="n">
        <x:v>15</x:v>
      </x:c>
      <x:c r="L362" s="2"/>
      <x:c r="M362" s="2"/>
      <x:c r="N362" s="2"/>
    </x:row>
    <x:row r="363" ht="22" customHeight="1">
      <x:c r="A363" s="4" t="d">
        <x:v>2018-02-01T00:00:00.000Z</x:v>
      </x:c>
      <x:c r="B363" s="2" t="str">
        <x:v>PI</x:v>
      </x:c>
      <x:c r="C363" s="8" t="n">
        <x:v>34</x:v>
      </x:c>
      <x:c r="D363" s="8" t="n">
        <x:v>32</x:v>
      </x:c>
      <x:c r="E363" s="9" t="n">
        <x:v>4210.82</x:v>
      </x:c>
      <x:c r="F363" s="9" t="n">
        <x:v>1448.14</x:v>
      </x:c>
      <x:c r="G363" s="8" t="n">
        <x:v>32</x:v>
      </x:c>
      <x:c r="H363" s="8" t="n">
        <x:v>7</x:v>
      </x:c>
      <x:c r="I363" s="8" t="n">
        <x:v>729.5263425926</x:v>
      </x:c>
      <x:c r="J363" s="8" t="n">
        <x:v>32</x:v>
      </x:c>
      <x:c r="K363" s="8" t="n">
        <x:v>9</x:v>
      </x:c>
      <x:c r="L363" s="2"/>
      <x:c r="M363" s="2"/>
      <x:c r="N363" s="2"/>
    </x:row>
    <x:row r="364" ht="22" customHeight="1">
      <x:c r="A364" s="4" t="d">
        <x:v>2018-02-01T00:00:00.000Z</x:v>
      </x:c>
      <x:c r="B364" s="2" t="str">
        <x:v>PR</x:v>
      </x:c>
      <x:c r="C364" s="8" t="n">
        <x:v>342</x:v>
      </x:c>
      <x:c r="D364" s="8" t="n">
        <x:v>335</x:v>
      </x:c>
      <x:c r="E364" s="9" t="n">
        <x:v>44752.11</x:v>
      </x:c>
      <x:c r="F364" s="9" t="n">
        <x:v>6846.5</x:v>
      </x:c>
      <x:c r="G364" s="8" t="n">
        <x:v>335</x:v>
      </x:c>
      <x:c r="H364" s="8" t="n">
        <x:v>30</x:v>
      </x:c>
      <x:c r="I364" s="8" t="n">
        <x:v>4951.6824884259</x:v>
      </x:c>
      <x:c r="J364" s="8" t="n">
        <x:v>333</x:v>
      </x:c>
      <x:c r="K364" s="8" t="n">
        <x:v>51</x:v>
      </x:c>
      <x:c r="L364" s="2"/>
      <x:c r="M364" s="2"/>
      <x:c r="N364" s="2"/>
    </x:row>
    <x:row r="365" ht="22" customHeight="1">
      <x:c r="A365" s="4" t="d">
        <x:v>2018-02-01T00:00:00.000Z</x:v>
      </x:c>
      <x:c r="B365" s="2" t="str">
        <x:v>RJ</x:v>
      </x:c>
      <x:c r="C365" s="8" t="n">
        <x:v>922</x:v>
      </x:c>
      <x:c r="D365" s="8" t="n">
        <x:v>879</x:v>
      </x:c>
      <x:c r="E365" s="9" t="n">
        <x:v>110517.97</x:v>
      </x:c>
      <x:c r="F365" s="9" t="n">
        <x:v>20130.56</x:v>
      </x:c>
      <x:c r="G365" s="8" t="n">
        <x:v>879</x:v>
      </x:c>
      <x:c r="H365" s="8" t="n">
        <x:v>299</x:v>
      </x:c>
      <x:c r="I365" s="8" t="n">
        <x:v>20935.8128935185</x:v>
      </x:c>
      <x:c r="J365" s="8" t="n">
        <x:v>869</x:v>
      </x:c>
      <x:c r="K365" s="8" t="n">
        <x:v>315</x:v>
      </x:c>
      <x:c r="L365" s="2"/>
      <x:c r="M365" s="2"/>
      <x:c r="N365" s="2"/>
    </x:row>
    <x:row r="366" ht="22" customHeight="1">
      <x:c r="A366" s="4" t="d">
        <x:v>2018-02-01T00:00:00.000Z</x:v>
      </x:c>
      <x:c r="B366" s="2" t="str">
        <x:v>RN</x:v>
      </x:c>
      <x:c r="C366" s="8" t="n">
        <x:v>23</x:v>
      </x:c>
      <x:c r="D366" s="8" t="n">
        <x:v>23</x:v>
      </x:c>
      <x:c r="E366" s="9" t="n">
        <x:v>3204.87</x:v>
      </x:c>
      <x:c r="F366" s="9" t="n">
        <x:v>926.15</x:v>
      </x:c>
      <x:c r="G366" s="8" t="n">
        <x:v>23</x:v>
      </x:c>
      <x:c r="H366" s="8" t="n">
        <x:v>2</x:v>
      </x:c>
      <x:c r="I366" s="8" t="n">
        <x:v>480.725787037</x:v>
      </x:c>
      <x:c r="J366" s="8" t="n">
        <x:v>23</x:v>
      </x:c>
      <x:c r="K366" s="8" t="n">
        <x:v>2</x:v>
      </x:c>
      <x:c r="L366" s="2"/>
      <x:c r="M366" s="2"/>
      <x:c r="N366" s="2"/>
    </x:row>
    <x:row r="367" ht="22" customHeight="1">
      <x:c r="A367" s="4" t="d">
        <x:v>2018-02-01T00:00:00.000Z</x:v>
      </x:c>
      <x:c r="B367" s="2" t="str">
        <x:v>RO</x:v>
      </x:c>
      <x:c r="C367" s="8" t="n">
        <x:v>14</x:v>
      </x:c>
      <x:c r="D367" s="8" t="n">
        <x:v>13</x:v>
      </x:c>
      <x:c r="E367" s="9" t="n">
        <x:v>1579.38</x:v>
      </x:c>
      <x:c r="F367" s="9" t="n">
        <x:v>530.59</x:v>
      </x:c>
      <x:c r="G367" s="8" t="n">
        <x:v>13</x:v>
      </x:c>
      <x:c r="H367" s="8" t="n">
        <x:v>0</x:v>
      </x:c>
      <x:c r="I367" s="8" t="n">
        <x:v>277.4832638889</x:v>
      </x:c>
      <x:c r="J367" s="8" t="n">
        <x:v>13</x:v>
      </x:c>
      <x:c r="K367" s="8" t="n">
        <x:v>1</x:v>
      </x:c>
      <x:c r="L367" s="2"/>
      <x:c r="M367" s="2"/>
      <x:c r="N367" s="2"/>
    </x:row>
    <x:row r="368" ht="22" customHeight="1">
      <x:c r="A368" s="4" t="d">
        <x:v>2018-02-01T00:00:00.000Z</x:v>
      </x:c>
      <x:c r="B368" s="2" t="str">
        <x:v>RR</x:v>
      </x:c>
      <x:c r="C368" s="8" t="n">
        <x:v>5</x:v>
      </x:c>
      <x:c r="D368" s="8" t="n">
        <x:v>3</x:v>
      </x:c>
      <x:c r="E368" s="9" t="n">
        <x:v>129.99</x:v>
      </x:c>
      <x:c r="F368" s="9" t="n">
        <x:v>105.64</x:v>
      </x:c>
      <x:c r="G368" s="8" t="n">
        <x:v>3</x:v>
      </x:c>
      <x:c r="H368" s="8" t="n">
        <x:v>1</x:v>
      </x:c>
      <x:c r="I368" s="8" t="n">
        <x:v>142.7242939815</x:v>
      </x:c>
      <x:c r="J368" s="8" t="n">
        <x:v>3</x:v>
      </x:c>
      <x:c r="K368" s="8" t="n">
        <x:v>1</x:v>
      </x:c>
      <x:c r="L368" s="2"/>
      <x:c r="M368" s="2"/>
      <x:c r="N368" s="2"/>
    </x:row>
    <x:row r="369" ht="22" customHeight="1">
      <x:c r="A369" s="4" t="d">
        <x:v>2018-02-01T00:00:00.000Z</x:v>
      </x:c>
      <x:c r="B369" s="2" t="str">
        <x:v>RS</x:v>
      </x:c>
      <x:c r="C369" s="8" t="n">
        <x:v>368</x:v>
      </x:c>
      <x:c r="D369" s="8" t="n">
        <x:v>363</x:v>
      </x:c>
      <x:c r="E369" s="9" t="n">
        <x:v>46360.01</x:v>
      </x:c>
      <x:c r="F369" s="9" t="n">
        <x:v>8317.46</x:v>
      </x:c>
      <x:c r="G369" s="8" t="n">
        <x:v>363</x:v>
      </x:c>
      <x:c r="H369" s="8" t="n">
        <x:v>48</x:v>
      </x:c>
      <x:c r="I369" s="8" t="n">
        <x:v>7711.028125</x:v>
      </x:c>
      <x:c r="J369" s="8" t="n">
        <x:v>361</x:v>
      </x:c>
      <x:c r="K369" s="8" t="n">
        <x:v>56</x:v>
      </x:c>
      <x:c r="L369" s="2"/>
      <x:c r="M369" s="2"/>
      <x:c r="N369" s="2"/>
    </x:row>
    <x:row r="370" ht="22" customHeight="1">
      <x:c r="A370" s="4" t="d">
        <x:v>2018-02-01T00:00:00.000Z</x:v>
      </x:c>
      <x:c r="B370" s="2" t="str">
        <x:v>SC</x:v>
      </x:c>
      <x:c r="C370" s="8" t="n">
        <x:v>257</x:v>
      </x:c>
      <x:c r="D370" s="8" t="n">
        <x:v>254</x:v>
      </x:c>
      <x:c r="E370" s="9" t="n">
        <x:v>31886.25</x:v>
      </x:c>
      <x:c r="F370" s="9" t="n">
        <x:v>5805.14</x:v>
      </x:c>
      <x:c r="G370" s="8" t="n">
        <x:v>254</x:v>
      </x:c>
      <x:c r="H370" s="8" t="n">
        <x:v>61</x:v>
      </x:c>
      <x:c r="I370" s="8" t="n">
        <x:v>5531.1713773148</x:v>
      </x:c>
      <x:c r="J370" s="8" t="n">
        <x:v>252</x:v>
      </x:c>
      <x:c r="K370" s="8" t="n">
        <x:v>64</x:v>
      </x:c>
      <x:c r="L370" s="2"/>
      <x:c r="M370" s="2"/>
      <x:c r="N370" s="2"/>
    </x:row>
    <x:row r="371" ht="22" customHeight="1">
      <x:c r="A371" s="4" t="d">
        <x:v>2018-02-01T00:00:00.000Z</x:v>
      </x:c>
      <x:c r="B371" s="2" t="str">
        <x:v>SE</x:v>
      </x:c>
      <x:c r="C371" s="8" t="n">
        <x:v>15</x:v>
      </x:c>
      <x:c r="D371" s="8" t="n">
        <x:v>15</x:v>
      </x:c>
      <x:c r="E371" s="9" t="n">
        <x:v>4486.91</x:v>
      </x:c>
      <x:c r="F371" s="9" t="n">
        <x:v>616.19</x:v>
      </x:c>
      <x:c r="G371" s="8" t="n">
        <x:v>15</x:v>
      </x:c>
      <x:c r="H371" s="8" t="n">
        <x:v>2</x:v>
      </x:c>
      <x:c r="I371" s="8" t="n">
        <x:v>274.9001851852</x:v>
      </x:c>
      <x:c r="J371" s="8" t="n">
        <x:v>15</x:v>
      </x:c>
      <x:c r="K371" s="8" t="n">
        <x:v>1</x:v>
      </x:c>
      <x:c r="L371" s="2"/>
      <x:c r="M371" s="2"/>
      <x:c r="N371" s="2"/>
    </x:row>
    <x:row r="372" ht="22" customHeight="1">
      <x:c r="A372" s="4" t="d">
        <x:v>2018-02-01T00:00:00.000Z</x:v>
      </x:c>
      <x:c r="B372" s="2" t="str">
        <x:v>SP</x:v>
      </x:c>
      <x:c r="C372" s="8" t="n">
        <x:v>2703</x:v>
      </x:c>
      <x:c r="D372" s="8" t="n">
        <x:v>2632</x:v>
      </x:c>
      <x:c r="E372" s="9" t="n">
        <x:v>307829.15</x:v>
      </x:c>
      <x:c r="F372" s="9" t="n">
        <x:v>43121.21</x:v>
      </x:c>
      <x:c r="G372" s="8" t="n">
        <x:v>2632</x:v>
      </x:c>
      <x:c r="H372" s="8" t="n">
        <x:v>193</x:v>
      </x:c>
      <x:c r="I372" s="8" t="n">
        <x:v>30133.6852546296</x:v>
      </x:c>
      <x:c r="J372" s="8" t="n">
        <x:v>2617</x:v>
      </x:c>
      <x:c r="K372" s="8" t="n">
        <x:v>384</x:v>
      </x:c>
      <x:c r="L372" s="2"/>
      <x:c r="M372" s="2"/>
      <x:c r="N372" s="2"/>
    </x:row>
    <x:row r="373" ht="22" customHeight="1">
      <x:c r="A373" s="4" t="d">
        <x:v>2018-02-01T00:00:00.000Z</x:v>
      </x:c>
      <x:c r="B373" s="2" t="str">
        <x:v>TO</x:v>
      </x:c>
      <x:c r="C373" s="8" t="n">
        <x:v>21</x:v>
      </x:c>
      <x:c r="D373" s="8" t="n">
        <x:v>20</x:v>
      </x:c>
      <x:c r="E373" s="9" t="n">
        <x:v>2635.65</x:v>
      </x:c>
      <x:c r="F373" s="9" t="n">
        <x:v>722.82</x:v>
      </x:c>
      <x:c r="G373" s="8" t="n">
        <x:v>20</x:v>
      </x:c>
      <x:c r="H373" s="8" t="n">
        <x:v>9</x:v>
      </x:c>
      <x:c r="I373" s="8" t="n">
        <x:v>549.2079050926</x:v>
      </x:c>
      <x:c r="J373" s="8" t="n">
        <x:v>20</x:v>
      </x:c>
      <x:c r="K373" s="8" t="n">
        <x:v>6</x:v>
      </x:c>
      <x:c r="L373" s="2"/>
      <x:c r="M373" s="2"/>
      <x:c r="N373" s="2"/>
    </x:row>
    <x:row r="374" ht="22" customHeight="1">
      <x:c r="A374" s="4" t="d">
        <x:v>2018-03-01T00:00:00.000Z</x:v>
      </x:c>
      <x:c r="B374" s="2" t="str">
        <x:v>AC</x:v>
      </x:c>
      <x:c r="C374" s="8" t="n">
        <x:v>2</x:v>
      </x:c>
      <x:c r="D374" s="8" t="n">
        <x:v>2</x:v>
      </x:c>
      <x:c r="E374" s="9" t="n">
        <x:v>97.8</x:v>
      </x:c>
      <x:c r="F374" s="9" t="n">
        <x:v>66.87</x:v>
      </x:c>
      <x:c r="G374" s="8" t="n">
        <x:v>2</x:v>
      </x:c>
      <x:c r="H374" s="8" t="n">
        <x:v>0</x:v>
      </x:c>
      <x:c r="I374" s="8" t="n">
        <x:v>71.3019791667</x:v>
      </x:c>
      <x:c r="J374" s="8" t="n">
        <x:v>2</x:v>
      </x:c>
      <x:c r="K374" s="8" t="n">
        <x:v>0</x:v>
      </x:c>
      <x:c r="L374" s="2"/>
      <x:c r="M374" s="2"/>
      <x:c r="N374" s="2"/>
    </x:row>
    <x:row r="375" ht="22" customHeight="1">
      <x:c r="A375" s="4" t="d">
        <x:v>2018-03-01T00:00:00.000Z</x:v>
      </x:c>
      <x:c r="B375" s="2" t="str">
        <x:v>AL</x:v>
      </x:c>
      <x:c r="C375" s="8" t="n">
        <x:v>30</x:v>
      </x:c>
      <x:c r="D375" s="8" t="n">
        <x:v>27</x:v>
      </x:c>
      <x:c r="E375" s="9" t="n">
        <x:v>6406.95</x:v>
      </x:c>
      <x:c r="F375" s="9" t="n">
        <x:v>1058.36</x:v>
      </x:c>
      <x:c r="G375" s="8" t="n">
        <x:v>27</x:v>
      </x:c>
      <x:c r="H375" s="8" t="n">
        <x:v>9</x:v>
      </x:c>
      <x:c r="I375" s="8" t="n">
        <x:v>656.0312384259</x:v>
      </x:c>
      <x:c r="J375" s="8" t="n">
        <x:v>27</x:v>
      </x:c>
      <x:c r="K375" s="8" t="n">
        <x:v>6</x:v>
      </x:c>
      <x:c r="L375" s="2"/>
      <x:c r="M375" s="2"/>
      <x:c r="N375" s="2"/>
    </x:row>
    <x:row r="376" ht="22" customHeight="1">
      <x:c r="A376" s="4" t="d">
        <x:v>2018-03-01T00:00:00.000Z</x:v>
      </x:c>
      <x:c r="B376" s="2" t="str">
        <x:v>AM</x:v>
      </x:c>
      <x:c r="C376" s="8" t="n">
        <x:v>9</x:v>
      </x:c>
      <x:c r="D376" s="8" t="n">
        <x:v>8</x:v>
      </x:c>
      <x:c r="E376" s="9" t="n">
        <x:v>973.16</x:v>
      </x:c>
      <x:c r="F376" s="9" t="n">
        <x:v>461.01</x:v>
      </x:c>
      <x:c r="G376" s="8" t="n">
        <x:v>8</x:v>
      </x:c>
      <x:c r="H376" s="8" t="n">
        <x:v>2</x:v>
      </x:c>
      <x:c r="I376" s="8" t="n">
        <x:v>313.0474421296</x:v>
      </x:c>
      <x:c r="J376" s="8" t="n">
        <x:v>8</x:v>
      </x:c>
      <x:c r="K376" s="8" t="n">
        <x:v>1</x:v>
      </x:c>
      <x:c r="L376" s="2"/>
      <x:c r="M376" s="2"/>
      <x:c r="N376" s="2"/>
    </x:row>
    <x:row r="377" ht="22" customHeight="1">
      <x:c r="A377" s="4" t="d">
        <x:v>2018-03-01T00:00:00.000Z</x:v>
      </x:c>
      <x:c r="B377" s="2" t="str">
        <x:v>AP</x:v>
      </x:c>
      <x:c r="C377" s="8" t="n">
        <x:v>5</x:v>
      </x:c>
      <x:c r="D377" s="8" t="n">
        <x:v>5</x:v>
      </x:c>
      <x:c r="E377" s="9" t="n">
        <x:v>535.39</x:v>
      </x:c>
      <x:c r="F377" s="9" t="n">
        <x:v>169.15</x:v>
      </x:c>
      <x:c r="G377" s="8" t="n">
        <x:v>5</x:v>
      </x:c>
      <x:c r="H377" s="8" t="n">
        <x:v>0</x:v>
      </x:c>
      <x:c r="I377" s="8" t="n">
        <x:v>160.9565509259</x:v>
      </x:c>
      <x:c r="J377" s="8" t="n">
        <x:v>5</x:v>
      </x:c>
      <x:c r="K377" s="8" t="n">
        <x:v>2</x:v>
      </x:c>
      <x:c r="L377" s="2"/>
      <x:c r="M377" s="2"/>
      <x:c r="N377" s="2"/>
    </x:row>
    <x:row r="378" ht="22" customHeight="1">
      <x:c r="A378" s="4" t="d">
        <x:v>2018-03-01T00:00:00.000Z</x:v>
      </x:c>
      <x:c r="B378" s="2" t="str">
        <x:v>BA</x:v>
      </x:c>
      <x:c r="C378" s="8" t="n">
        <x:v>249</x:v>
      </x:c>
      <x:c r="D378" s="8" t="n">
        <x:v>235</x:v>
      </x:c>
      <x:c r="E378" s="9" t="n">
        <x:v>34965.93</x:v>
      </x:c>
      <x:c r="F378" s="9" t="n">
        <x:v>8248.93</x:v>
      </x:c>
      <x:c r="G378" s="8" t="n">
        <x:v>235</x:v>
      </x:c>
      <x:c r="H378" s="8" t="n">
        <x:v>74</x:v>
      </x:c>
      <x:c r="I378" s="8" t="n">
        <x:v>5479.7718171296</x:v>
      </x:c>
      <x:c r="J378" s="8" t="n">
        <x:v>234</x:v>
      </x:c>
      <x:c r="K378" s="8" t="n">
        <x:v>70</x:v>
      </x:c>
      <x:c r="L378" s="2"/>
      <x:c r="M378" s="2"/>
      <x:c r="N378" s="2"/>
    </x:row>
    <x:row r="379" ht="22" customHeight="1">
      <x:c r="A379" s="4" t="d">
        <x:v>2018-03-01T00:00:00.000Z</x:v>
      </x:c>
      <x:c r="B379" s="2" t="str">
        <x:v>CE</x:v>
      </x:c>
      <x:c r="C379" s="8" t="n">
        <x:v>98</x:v>
      </x:c>
      <x:c r="D379" s="8" t="n">
        <x:v>93</x:v>
      </x:c>
      <x:c r="E379" s="9" t="n">
        <x:v>18155.89</x:v>
      </x:c>
      <x:c r="F379" s="9" t="n">
        <x:v>4045.31</x:v>
      </x:c>
      <x:c r="G379" s="8" t="n">
        <x:v>93</x:v>
      </x:c>
      <x:c r="H379" s="8" t="n">
        <x:v>47</x:v>
      </x:c>
      <x:c r="I379" s="8" t="n">
        <x:v>2764.5747222222</x:v>
      </x:c>
      <x:c r="J379" s="8" t="n">
        <x:v>92</x:v>
      </x:c>
      <x:c r="K379" s="8" t="n">
        <x:v>36</x:v>
      </x:c>
      <x:c r="L379" s="2"/>
      <x:c r="M379" s="2"/>
      <x:c r="N379" s="2"/>
    </x:row>
    <x:row r="380" ht="22" customHeight="1">
      <x:c r="A380" s="4" t="d">
        <x:v>2018-03-01T00:00:00.000Z</x:v>
      </x:c>
      <x:c r="B380" s="2" t="str">
        <x:v>DF</x:v>
      </x:c>
      <x:c r="C380" s="8" t="n">
        <x:v>150</x:v>
      </x:c>
      <x:c r="D380" s="8" t="n">
        <x:v>147</x:v>
      </x:c>
      <x:c r="E380" s="9" t="n">
        <x:v>20520.53</x:v>
      </x:c>
      <x:c r="F380" s="9" t="n">
        <x:v>3884.99</x:v>
      </x:c>
      <x:c r="G380" s="8" t="n">
        <x:v>147</x:v>
      </x:c>
      <x:c r="H380" s="8" t="n">
        <x:v>27</x:v>
      </x:c>
      <x:c r="I380" s="8" t="n">
        <x:v>2393.5835185185</x:v>
      </x:c>
      <x:c r="J380" s="8" t="n">
        <x:v>145</x:v>
      </x:c>
      <x:c r="K380" s="8" t="n">
        <x:v>31</x:v>
      </x:c>
      <x:c r="L380" s="2"/>
      <x:c r="M380" s="2"/>
      <x:c r="N380" s="2"/>
    </x:row>
    <x:row r="381" ht="22" customHeight="1">
      <x:c r="A381" s="4" t="d">
        <x:v>2018-03-01T00:00:00.000Z</x:v>
      </x:c>
      <x:c r="B381" s="2" t="str">
        <x:v>ES</x:v>
      </x:c>
      <x:c r="C381" s="8" t="n">
        <x:v>134</x:v>
      </x:c>
      <x:c r="D381" s="8" t="n">
        <x:v>133</x:v>
      </x:c>
      <x:c r="E381" s="9" t="n">
        <x:v>17172.77</x:v>
      </x:c>
      <x:c r="F381" s="9" t="n">
        <x:v>3188.53</x:v>
      </x:c>
      <x:c r="G381" s="8" t="n">
        <x:v>133</x:v>
      </x:c>
      <x:c r="H381" s="8" t="n">
        <x:v>55</x:v>
      </x:c>
      <x:c r="I381" s="8" t="n">
        <x:v>2890.1509837963</x:v>
      </x:c>
      <x:c r="J381" s="8" t="n">
        <x:v>130</x:v>
      </x:c>
      <x:c r="K381" s="8" t="n">
        <x:v>43</x:v>
      </x:c>
      <x:c r="L381" s="2"/>
      <x:c r="M381" s="2"/>
      <x:c r="N381" s="2"/>
    </x:row>
    <x:row r="382" ht="22" customHeight="1">
      <x:c r="A382" s="4" t="d">
        <x:v>2018-03-01T00:00:00.000Z</x:v>
      </x:c>
      <x:c r="B382" s="2" t="str">
        <x:v>GO</x:v>
      </x:c>
      <x:c r="C382" s="8" t="n">
        <x:v>146</x:v>
      </x:c>
      <x:c r="D382" s="8" t="n">
        <x:v>141</x:v>
      </x:c>
      <x:c r="E382" s="9" t="n">
        <x:v>18081.41</x:v>
      </x:c>
      <x:c r="F382" s="9" t="n">
        <x:v>4141.84</x:v>
      </x:c>
      <x:c r="G382" s="8" t="n">
        <x:v>141</x:v>
      </x:c>
      <x:c r="H382" s="8" t="n">
        <x:v>28</x:v>
      </x:c>
      <x:c r="I382" s="8" t="n">
        <x:v>2658.3657291667</x:v>
      </x:c>
      <x:c r="J382" s="8" t="n">
        <x:v>141</x:v>
      </x:c>
      <x:c r="K382" s="8" t="n">
        <x:v>26</x:v>
      </x:c>
      <x:c r="L382" s="2"/>
      <x:c r="M382" s="2"/>
      <x:c r="N382" s="2"/>
    </x:row>
    <x:row r="383" ht="22" customHeight="1">
      <x:c r="A383" s="4" t="d">
        <x:v>2018-03-01T00:00:00.000Z</x:v>
      </x:c>
      <x:c r="B383" s="2" t="str">
        <x:v>MA</x:v>
      </x:c>
      <x:c r="C383" s="8" t="n">
        <x:v>53</x:v>
      </x:c>
      <x:c r="D383" s="8" t="n">
        <x:v>49</x:v>
      </x:c>
      <x:c r="E383" s="9" t="n">
        <x:v>7913.76</x:v>
      </x:c>
      <x:c r="F383" s="9" t="n">
        <x:v>2545.69</x:v>
      </x:c>
      <x:c r="G383" s="8" t="n">
        <x:v>49</x:v>
      </x:c>
      <x:c r="H383" s="8" t="n">
        <x:v>25</x:v>
      </x:c>
      <x:c r="I383" s="8" t="n">
        <x:v>1297.0406712963</x:v>
      </x:c>
      <x:c r="J383" s="8" t="n">
        <x:v>48</x:v>
      </x:c>
      <x:c r="K383" s="8" t="n">
        <x:v>18</x:v>
      </x:c>
      <x:c r="L383" s="2"/>
      <x:c r="M383" s="2"/>
      <x:c r="N383" s="2"/>
    </x:row>
    <x:row r="384" ht="22" customHeight="1">
      <x:c r="A384" s="4" t="d">
        <x:v>2018-03-01T00:00:00.000Z</x:v>
      </x:c>
      <x:c r="B384" s="2" t="str">
        <x:v>MG</x:v>
      </x:c>
      <x:c r="C384" s="8" t="n">
        <x:v>879</x:v>
      </x:c>
      <x:c r="D384" s="8" t="n">
        <x:v>856</x:v>
      </x:c>
      <x:c r="E384" s="9" t="n">
        <x:v>114857.97</x:v>
      </x:c>
      <x:c r="F384" s="9" t="n">
        <x:v>21324.31</x:v>
      </x:c>
      <x:c r="G384" s="8" t="n">
        <x:v>856</x:v>
      </x:c>
      <x:c r="H384" s="8" t="n">
        <x:v>175</x:v>
      </x:c>
      <x:c r="I384" s="8" t="n">
        <x:v>14349.6148032407</x:v>
      </x:c>
      <x:c r="J384" s="8" t="n">
        <x:v>847</x:v>
      </x:c>
      <x:c r="K384" s="8" t="n">
        <x:v>200</x:v>
      </x:c>
      <x:c r="L384" s="2"/>
      <x:c r="M384" s="2"/>
      <x:c r="N384" s="2"/>
    </x:row>
    <x:row r="385" ht="22" customHeight="1">
      <x:c r="A385" s="4" t="d">
        <x:v>2018-03-01T00:00:00.000Z</x:v>
      </x:c>
      <x:c r="B385" s="2" t="str">
        <x:v>MS</x:v>
      </x:c>
      <x:c r="C385" s="8" t="n">
        <x:v>59</x:v>
      </x:c>
      <x:c r="D385" s="8" t="n">
        <x:v>57</x:v>
      </x:c>
      <x:c r="E385" s="9" t="n">
        <x:v>7009.98</x:v>
      </x:c>
      <x:c r="F385" s="9" t="n">
        <x:v>1578.91</x:v>
      </x:c>
      <x:c r="G385" s="8" t="n">
        <x:v>57</x:v>
      </x:c>
      <x:c r="H385" s="8" t="n">
        <x:v>23</x:v>
      </x:c>
      <x:c r="I385" s="8" t="n">
        <x:v>1249.7245138889</x:v>
      </x:c>
      <x:c r="J385" s="8" t="n">
        <x:v>57</x:v>
      </x:c>
      <x:c r="K385" s="8" t="n">
        <x:v>18</x:v>
      </x:c>
      <x:c r="L385" s="2"/>
      <x:c r="M385" s="2"/>
      <x:c r="N385" s="2"/>
    </x:row>
    <x:row r="386" ht="22" customHeight="1">
      <x:c r="A386" s="4" t="d">
        <x:v>2018-03-01T00:00:00.000Z</x:v>
      </x:c>
      <x:c r="B386" s="2" t="str">
        <x:v>MT</x:v>
      </x:c>
      <x:c r="C386" s="8" t="n">
        <x:v>55</x:v>
      </x:c>
      <x:c r="D386" s="8" t="n">
        <x:v>52</x:v>
      </x:c>
      <x:c r="E386" s="9" t="n">
        <x:v>8213.74</x:v>
      </x:c>
      <x:c r="F386" s="9" t="n">
        <x:v>1767.64</x:v>
      </x:c>
      <x:c r="G386" s="8" t="n">
        <x:v>52</x:v>
      </x:c>
      <x:c r="H386" s="8" t="n">
        <x:v>13</x:v>
      </x:c>
      <x:c r="I386" s="8" t="n">
        <x:v>1203.0494560185</x:v>
      </x:c>
      <x:c r="J386" s="8" t="n">
        <x:v>51</x:v>
      </x:c>
      <x:c r="K386" s="8" t="n">
        <x:v>12</x:v>
      </x:c>
      <x:c r="L386" s="2"/>
      <x:c r="M386" s="2"/>
      <x:c r="N386" s="2"/>
    </x:row>
    <x:row r="387" ht="22" customHeight="1">
      <x:c r="A387" s="4" t="d">
        <x:v>2018-03-01T00:00:00.000Z</x:v>
      </x:c>
      <x:c r="B387" s="2" t="str">
        <x:v>PA</x:v>
      </x:c>
      <x:c r="C387" s="8" t="n">
        <x:v>73</x:v>
      </x:c>
      <x:c r="D387" s="8" t="n">
        <x:v>67</x:v>
      </x:c>
      <x:c r="E387" s="9" t="n">
        <x:v>11937.21</x:v>
      </x:c>
      <x:c r="F387" s="9" t="n">
        <x:v>2849.92</x:v>
      </x:c>
      <x:c r="G387" s="8" t="n">
        <x:v>67</x:v>
      </x:c>
      <x:c r="H387" s="8" t="n">
        <x:v>34</x:v>
      </x:c>
      <x:c r="I387" s="8" t="n">
        <x:v>2537.0862962963</x:v>
      </x:c>
      <x:c r="J387" s="8" t="n">
        <x:v>65</x:v>
      </x:c>
      <x:c r="K387" s="8" t="n">
        <x:v>35</x:v>
      </x:c>
      <x:c r="L387" s="2"/>
      <x:c r="M387" s="2"/>
      <x:c r="N387" s="2"/>
    </x:row>
    <x:row r="388" ht="22" customHeight="1">
      <x:c r="A388" s="4" t="d">
        <x:v>2018-03-01T00:00:00.000Z</x:v>
      </x:c>
      <x:c r="B388" s="2" t="str">
        <x:v>PB</x:v>
      </x:c>
      <x:c r="C388" s="8" t="n">
        <x:v>39</x:v>
      </x:c>
      <x:c r="D388" s="8" t="n">
        <x:v>39</x:v>
      </x:c>
      <x:c r="E388" s="9" t="n">
        <x:v>6087</x:v>
      </x:c>
      <x:c r="F388" s="9" t="n">
        <x:v>1980.23</x:v>
      </x:c>
      <x:c r="G388" s="8" t="n">
        <x:v>39</x:v>
      </x:c>
      <x:c r="H388" s="8" t="n">
        <x:v>5</x:v>
      </x:c>
      <x:c r="I388" s="8" t="n">
        <x:v>880.4716087963</x:v>
      </x:c>
      <x:c r="J388" s="8" t="n">
        <x:v>39</x:v>
      </x:c>
      <x:c r="K388" s="8" t="n">
        <x:v>7</x:v>
      </x:c>
      <x:c r="L388" s="2"/>
      <x:c r="M388" s="2"/>
      <x:c r="N388" s="2"/>
    </x:row>
    <x:row r="389" ht="22" customHeight="1">
      <x:c r="A389" s="4" t="d">
        <x:v>2018-03-01T00:00:00.000Z</x:v>
      </x:c>
      <x:c r="B389" s="2" t="str">
        <x:v>PE</x:v>
      </x:c>
      <x:c r="C389" s="8" t="n">
        <x:v>108</x:v>
      </x:c>
      <x:c r="D389" s="8" t="n">
        <x:v>107</x:v>
      </x:c>
      <x:c r="E389" s="9" t="n">
        <x:v>22702.39</x:v>
      </x:c>
      <x:c r="F389" s="9" t="n">
        <x:v>4107.79</x:v>
      </x:c>
      <x:c r="G389" s="8" t="n">
        <x:v>107</x:v>
      </x:c>
      <x:c r="H389" s="8" t="n">
        <x:v>22</x:v>
      </x:c>
      <x:c r="I389" s="8" t="n">
        <x:v>2302.9997337963</x:v>
      </x:c>
      <x:c r="J389" s="8" t="n">
        <x:v>106</x:v>
      </x:c>
      <x:c r="K389" s="8" t="n">
        <x:v>23</x:v>
      </x:c>
      <x:c r="L389" s="2"/>
      <x:c r="M389" s="2"/>
      <x:c r="N389" s="2"/>
    </x:row>
    <x:row r="390" ht="22" customHeight="1">
      <x:c r="A390" s="4" t="d">
        <x:v>2018-03-01T00:00:00.000Z</x:v>
      </x:c>
      <x:c r="B390" s="2" t="str">
        <x:v>PI</x:v>
      </x:c>
      <x:c r="C390" s="8" t="n">
        <x:v>35</x:v>
      </x:c>
      <x:c r="D390" s="8" t="n">
        <x:v>34</x:v>
      </x:c>
      <x:c r="E390" s="9" t="n">
        <x:v>6557.29</x:v>
      </x:c>
      <x:c r="F390" s="9" t="n">
        <x:v>1601.54</x:v>
      </x:c>
      <x:c r="G390" s="8" t="n">
        <x:v>34</x:v>
      </x:c>
      <x:c r="H390" s="8" t="n">
        <x:v>10</x:v>
      </x:c>
      <x:c r="I390" s="8" t="n">
        <x:v>756.6823842593</x:v>
      </x:c>
      <x:c r="J390" s="8" t="n">
        <x:v>33</x:v>
      </x:c>
      <x:c r="K390" s="8" t="n">
        <x:v>10</x:v>
      </x:c>
      <x:c r="L390" s="2"/>
      <x:c r="M390" s="2"/>
      <x:c r="N390" s="2"/>
    </x:row>
    <x:row r="391" ht="22" customHeight="1">
      <x:c r="A391" s="4" t="d">
        <x:v>2018-03-01T00:00:00.000Z</x:v>
      </x:c>
      <x:c r="B391" s="2" t="str">
        <x:v>PR</x:v>
      </x:c>
      <x:c r="C391" s="8" t="n">
        <x:v>377</x:v>
      </x:c>
      <x:c r="D391" s="8" t="n">
        <x:v>369</x:v>
      </x:c>
      <x:c r="E391" s="9" t="n">
        <x:v>49983.31</x:v>
      </x:c>
      <x:c r="F391" s="9" t="n">
        <x:v>8867.48</x:v>
      </x:c>
      <x:c r="G391" s="8" t="n">
        <x:v>369</x:v>
      </x:c>
      <x:c r="H391" s="8" t="n">
        <x:v>49</x:v>
      </x:c>
      <x:c r="I391" s="8" t="n">
        <x:v>5651.1696296296</x:v>
      </x:c>
      <x:c r="J391" s="8" t="n">
        <x:v>368</x:v>
      </x:c>
      <x:c r="K391" s="8" t="n">
        <x:v>67</x:v>
      </x:c>
      <x:c r="L391" s="2"/>
      <x:c r="M391" s="2"/>
      <x:c r="N391" s="2"/>
    </x:row>
    <x:row r="392" ht="22" customHeight="1">
      <x:c r="A392" s="4" t="d">
        <x:v>2018-03-01T00:00:00.000Z</x:v>
      </x:c>
      <x:c r="B392" s="2" t="str">
        <x:v>RJ</x:v>
      </x:c>
      <x:c r="C392" s="8" t="n">
        <x:v>907</x:v>
      </x:c>
      <x:c r="D392" s="8" t="n">
        <x:v>864</x:v>
      </x:c>
      <x:c r="E392" s="9" t="n">
        <x:v>113062.84</x:v>
      </x:c>
      <x:c r="F392" s="9" t="n">
        <x:v>22124.03</x:v>
      </x:c>
      <x:c r="G392" s="8" t="n">
        <x:v>864</x:v>
      </x:c>
      <x:c r="H392" s="8" t="n">
        <x:v>298</x:v>
      </x:c>
      <x:c r="I392" s="8" t="n">
        <x:v>20991.2379166667</x:v>
      </x:c>
      <x:c r="J392" s="8" t="n">
        <x:v>848</x:v>
      </x:c>
      <x:c r="K392" s="8" t="n">
        <x:v>305</x:v>
      </x:c>
      <x:c r="L392" s="2"/>
      <x:c r="M392" s="2"/>
      <x:c r="N392" s="2"/>
    </x:row>
    <x:row r="393" ht="22" customHeight="1">
      <x:c r="A393" s="4" t="d">
        <x:v>2018-03-01T00:00:00.000Z</x:v>
      </x:c>
      <x:c r="B393" s="2" t="str">
        <x:v>RN</x:v>
      </x:c>
      <x:c r="C393" s="8" t="n">
        <x:v>39</x:v>
      </x:c>
      <x:c r="D393" s="8" t="n">
        <x:v>38</x:v>
      </x:c>
      <x:c r="E393" s="9" t="n">
        <x:v>7183.93</x:v>
      </x:c>
      <x:c r="F393" s="9" t="n">
        <x:v>1673.23</x:v>
      </x:c>
      <x:c r="G393" s="8" t="n">
        <x:v>38</x:v>
      </x:c>
      <x:c r="H393" s="8" t="n">
        <x:v>7</x:v>
      </x:c>
      <x:c r="I393" s="8" t="n">
        <x:v>916.0527662037</x:v>
      </x:c>
      <x:c r="J393" s="8" t="n">
        <x:v>38</x:v>
      </x:c>
      <x:c r="K393" s="8" t="n">
        <x:v>7</x:v>
      </x:c>
      <x:c r="L393" s="2"/>
      <x:c r="M393" s="2"/>
      <x:c r="N393" s="2"/>
    </x:row>
    <x:row r="394" ht="22" customHeight="1">
      <x:c r="A394" s="4" t="d">
        <x:v>2018-03-01T00:00:00.000Z</x:v>
      </x:c>
      <x:c r="B394" s="2" t="str">
        <x:v>RO</x:v>
      </x:c>
      <x:c r="C394" s="8" t="n">
        <x:v>13</x:v>
      </x:c>
      <x:c r="D394" s="8" t="n">
        <x:v>13</x:v>
      </x:c>
      <x:c r="E394" s="9" t="n">
        <x:v>2726.89</x:v>
      </x:c>
      <x:c r="F394" s="9" t="n">
        <x:v>578.96</x:v>
      </x:c>
      <x:c r="G394" s="8" t="n">
        <x:v>13</x:v>
      </x:c>
      <x:c r="H394" s="8" t="n">
        <x:v>3</x:v>
      </x:c>
      <x:c r="I394" s="8" t="n">
        <x:v>341.1671180556</x:v>
      </x:c>
      <x:c r="J394" s="8" t="n">
        <x:v>13</x:v>
      </x:c>
      <x:c r="K394" s="8" t="n">
        <x:v>4</x:v>
      </x:c>
      <x:c r="L394" s="2"/>
      <x:c r="M394" s="2"/>
      <x:c r="N394" s="2"/>
    </x:row>
    <x:row r="395" ht="22" customHeight="1">
      <x:c r="A395" s="4" t="d">
        <x:v>2018-03-01T00:00:00.000Z</x:v>
      </x:c>
      <x:c r="B395" s="2" t="str">
        <x:v>RR</x:v>
      </x:c>
      <x:c r="C395" s="8" t="n">
        <x:v>6</x:v>
      </x:c>
      <x:c r="D395" s="8" t="n">
        <x:v>5</x:v>
      </x:c>
      <x:c r="E395" s="9" t="n">
        <x:v>1704.78</x:v>
      </x:c>
      <x:c r="F395" s="9" t="n">
        <x:v>314.02</x:v>
      </x:c>
      <x:c r="G395" s="8" t="n">
        <x:v>5</x:v>
      </x:c>
      <x:c r="H395" s="8" t="n">
        <x:v>0</x:v>
      </x:c>
      <x:c r="I395" s="8" t="n">
        <x:v>161.0629282407</x:v>
      </x:c>
      <x:c r="J395" s="8" t="n">
        <x:v>5</x:v>
      </x:c>
      <x:c r="K395" s="8" t="n">
        <x:v>1</x:v>
      </x:c>
      <x:c r="L395" s="2"/>
      <x:c r="M395" s="2"/>
      <x:c r="N395" s="2"/>
    </x:row>
    <x:row r="396" ht="22" customHeight="1">
      <x:c r="A396" s="4" t="d">
        <x:v>2018-03-01T00:00:00.000Z</x:v>
      </x:c>
      <x:c r="B396" s="2" t="str">
        <x:v>RS</x:v>
      </x:c>
      <x:c r="C396" s="8" t="n">
        <x:v>418</x:v>
      </x:c>
      <x:c r="D396" s="8" t="n">
        <x:v>407</x:v>
      </x:c>
      <x:c r="E396" s="9" t="n">
        <x:v>56068.4</x:v>
      </x:c>
      <x:c r="F396" s="9" t="n">
        <x:v>10307.02</x:v>
      </x:c>
      <x:c r="G396" s="8" t="n">
        <x:v>407</x:v>
      </x:c>
      <x:c r="H396" s="8" t="n">
        <x:v>78</x:v>
      </x:c>
      <x:c r="I396" s="8" t="n">
        <x:v>8103.3844328704</x:v>
      </x:c>
      <x:c r="J396" s="8" t="n">
        <x:v>406</x:v>
      </x:c>
      <x:c r="K396" s="8" t="n">
        <x:v>89</x:v>
      </x:c>
      <x:c r="L396" s="2"/>
      <x:c r="M396" s="2"/>
      <x:c r="N396" s="2"/>
    </x:row>
    <x:row r="397" ht="22" customHeight="1">
      <x:c r="A397" s="4" t="d">
        <x:v>2018-03-01T00:00:00.000Z</x:v>
      </x:c>
      <x:c r="B397" s="2" t="str">
        <x:v>SC</x:v>
      </x:c>
      <x:c r="C397" s="8" t="n">
        <x:v>252</x:v>
      </x:c>
      <x:c r="D397" s="8" t="n">
        <x:v>247</x:v>
      </x:c>
      <x:c r="E397" s="9" t="n">
        <x:v>36300.36</x:v>
      </x:c>
      <x:c r="F397" s="9" t="n">
        <x:v>6389.14</x:v>
      </x:c>
      <x:c r="G397" s="8" t="n">
        <x:v>247</x:v>
      </x:c>
      <x:c r="H397" s="8" t="n">
        <x:v>48</x:v>
      </x:c>
      <x:c r="I397" s="8" t="n">
        <x:v>4260.6830555556</x:v>
      </x:c>
      <x:c r="J397" s="8" t="n">
        <x:v>244</x:v>
      </x:c>
      <x:c r="K397" s="8" t="n">
        <x:v>45</x:v>
      </x:c>
      <x:c r="L397" s="2"/>
      <x:c r="M397" s="2"/>
      <x:c r="N397" s="2"/>
    </x:row>
    <x:row r="398" ht="22" customHeight="1">
      <x:c r="A398" s="4" t="d">
        <x:v>2018-03-01T00:00:00.000Z</x:v>
      </x:c>
      <x:c r="B398" s="2" t="str">
        <x:v>SE</x:v>
      </x:c>
      <x:c r="C398" s="8" t="n">
        <x:v>18</x:v>
      </x:c>
      <x:c r="D398" s="8" t="n">
        <x:v>17</x:v>
      </x:c>
      <x:c r="E398" s="9" t="n">
        <x:v>2528.42</x:v>
      </x:c>
      <x:c r="F398" s="9" t="n">
        <x:v>884.1</x:v>
      </x:c>
      <x:c r="G398" s="8" t="n">
        <x:v>17</x:v>
      </x:c>
      <x:c r="H398" s="8" t="n">
        <x:v>11</x:v>
      </x:c>
      <x:c r="I398" s="8" t="n">
        <x:v>435.6436574074</x:v>
      </x:c>
      <x:c r="J398" s="8" t="n">
        <x:v>17</x:v>
      </x:c>
      <x:c r="K398" s="8" t="n">
        <x:v>9</x:v>
      </x:c>
      <x:c r="L398" s="2"/>
      <x:c r="M398" s="2"/>
      <x:c r="N398" s="2"/>
    </x:row>
    <x:row r="399" ht="22" customHeight="1">
      <x:c r="A399" s="4" t="d">
        <x:v>2018-03-01T00:00:00.000Z</x:v>
      </x:c>
      <x:c r="B399" s="2" t="str">
        <x:v>SP</x:v>
      </x:c>
      <x:c r="C399" s="8" t="n">
        <x:v>3037</x:v>
      </x:c>
      <x:c r="D399" s="8" t="n">
        <x:v>2971</x:v>
      </x:c>
      <x:c r="E399" s="9" t="n">
        <x:v>377034.34</x:v>
      </x:c>
      <x:c r="F399" s="9" t="n">
        <x:v>52077.17</x:v>
      </x:c>
      <x:c r="G399" s="8" t="n">
        <x:v>2971</x:v>
      </x:c>
      <x:c r="H399" s="8" t="n">
        <x:v>280</x:v>
      </x:c>
      <x:c r="I399" s="8" t="n">
        <x:v>30911.4236342593</x:v>
      </x:c>
      <x:c r="J399" s="8" t="n">
        <x:v>2959</x:v>
      </x:c>
      <x:c r="K399" s="8" t="n">
        <x:v>399</x:v>
      </x:c>
      <x:c r="L399" s="2"/>
      <x:c r="M399" s="2"/>
      <x:c r="N399" s="2"/>
    </x:row>
    <x:row r="400" ht="22" customHeight="1">
      <x:c r="A400" s="4" t="d">
        <x:v>2018-03-01T00:00:00.000Z</x:v>
      </x:c>
      <x:c r="B400" s="2" t="str">
        <x:v>TO</x:v>
      </x:c>
      <x:c r="C400" s="8" t="n">
        <x:v>20</x:v>
      </x:c>
      <x:c r="D400" s="8" t="n">
        <x:v>20</x:v>
      </x:c>
      <x:c r="E400" s="9" t="n">
        <x:v>4573.81</x:v>
      </x:c>
      <x:c r="F400" s="9" t="n">
        <x:v>1005.82</x:v>
      </x:c>
      <x:c r="G400" s="8" t="n">
        <x:v>20</x:v>
      </x:c>
      <x:c r="H400" s="8" t="n">
        <x:v>5</x:v>
      </x:c>
      <x:c r="I400" s="8" t="n">
        <x:v>422.4968634259</x:v>
      </x:c>
      <x:c r="J400" s="8" t="n">
        <x:v>20</x:v>
      </x:c>
      <x:c r="K400" s="8" t="n">
        <x:v>7</x:v>
      </x:c>
      <x:c r="L400" s="2"/>
      <x:c r="M400" s="2"/>
      <x:c r="N400" s="2"/>
    </x:row>
    <x:row r="401" ht="22" customHeight="1">
      <x:c r="A401" s="4" t="d">
        <x:v>2018-04-01T00:00:00.000Z</x:v>
      </x:c>
      <x:c r="B401" s="2" t="str">
        <x:v>AC</x:v>
      </x:c>
      <x:c r="C401" s="8" t="n">
        <x:v>4</x:v>
      </x:c>
      <x:c r="D401" s="8" t="n">
        <x:v>4</x:v>
      </x:c>
      <x:c r="E401" s="9" t="n">
        <x:v>422.98</x:v>
      </x:c>
      <x:c r="F401" s="9" t="n">
        <x:v>165.19</x:v>
      </x:c>
      <x:c r="G401" s="8" t="n">
        <x:v>4</x:v>
      </x:c>
      <x:c r="H401" s="8" t="n">
        <x:v>1</x:v>
      </x:c>
      <x:c r="I401" s="8" t="n">
        <x:v>141.2631481481</x:v>
      </x:c>
      <x:c r="J401" s="8" t="n">
        <x:v>4</x:v>
      </x:c>
      <x:c r="K401" s="8" t="n">
        <x:v>2</x:v>
      </x:c>
      <x:c r="L401" s="2"/>
      <x:c r="M401" s="2"/>
      <x:c r="N401" s="2"/>
    </x:row>
    <x:row r="402" ht="22" customHeight="1">
      <x:c r="A402" s="4" t="d">
        <x:v>2018-04-01T00:00:00.000Z</x:v>
      </x:c>
      <x:c r="B402" s="2" t="str">
        <x:v>AL</x:v>
      </x:c>
      <x:c r="C402" s="8" t="n">
        <x:v>28</x:v>
      </x:c>
      <x:c r="D402" s="8" t="n">
        <x:v>27</x:v>
      </x:c>
      <x:c r="E402" s="9" t="n">
        <x:v>5956.23</x:v>
      </x:c>
      <x:c r="F402" s="9" t="n">
        <x:v>1050.23</x:v>
      </x:c>
      <x:c r="G402" s="8" t="n">
        <x:v>27</x:v>
      </x:c>
      <x:c r="H402" s="8" t="n">
        <x:v>7</x:v>
      </x:c>
      <x:c r="I402" s="8" t="n">
        <x:v>642.9356481481</x:v>
      </x:c>
      <x:c r="J402" s="8" t="n">
        <x:v>27</x:v>
      </x:c>
      <x:c r="K402" s="8" t="n">
        <x:v>7</x:v>
      </x:c>
      <x:c r="L402" s="2"/>
      <x:c r="M402" s="2"/>
      <x:c r="N402" s="2"/>
    </x:row>
    <x:row r="403" ht="22" customHeight="1">
      <x:c r="A403" s="4" t="d">
        <x:v>2018-04-01T00:00:00.000Z</x:v>
      </x:c>
      <x:c r="B403" s="2" t="str">
        <x:v>AM</x:v>
      </x:c>
      <x:c r="C403" s="8" t="n">
        <x:v>6</x:v>
      </x:c>
      <x:c r="D403" s="8" t="n">
        <x:v>6</x:v>
      </x:c>
      <x:c r="E403" s="9" t="n">
        <x:v>667.79</x:v>
      </x:c>
      <x:c r="F403" s="9" t="n">
        <x:v>225.7</x:v>
      </x:c>
      <x:c r="G403" s="8" t="n">
        <x:v>6</x:v>
      </x:c>
      <x:c r="H403" s="8" t="n">
        <x:v>0</x:v>
      </x:c>
      <x:c r="I403" s="8" t="n">
        <x:v>158.2925115741</x:v>
      </x:c>
      <x:c r="J403" s="8" t="n">
        <x:v>6</x:v>
      </x:c>
      <x:c r="K403" s="8" t="n">
        <x:v>0</x:v>
      </x:c>
      <x:c r="L403" s="2"/>
      <x:c r="M403" s="2"/>
      <x:c r="N403" s="2"/>
    </x:row>
    <x:row r="404" ht="22" customHeight="1">
      <x:c r="A404" s="4" t="d">
        <x:v>2018-04-01T00:00:00.000Z</x:v>
      </x:c>
      <x:c r="B404" s="2" t="str">
        <x:v>AP</x:v>
      </x:c>
      <x:c r="C404" s="8" t="n">
        <x:v>5</x:v>
      </x:c>
      <x:c r="D404" s="8" t="n">
        <x:v>5</x:v>
      </x:c>
      <x:c r="E404" s="9" t="n">
        <x:v>822.7</x:v>
      </x:c>
      <x:c r="F404" s="9" t="n">
        <x:v>220.1</x:v>
      </x:c>
      <x:c r="G404" s="8" t="n">
        <x:v>5</x:v>
      </x:c>
      <x:c r="H404" s="8" t="n">
        <x:v>0</x:v>
      </x:c>
      <x:c r="I404" s="8" t="n">
        <x:v>136.0399652778</x:v>
      </x:c>
      <x:c r="J404" s="8" t="n">
        <x:v>4</x:v>
      </x:c>
      <x:c r="K404" s="8" t="n">
        <x:v>0</x:v>
      </x:c>
      <x:c r="L404" s="2"/>
      <x:c r="M404" s="2"/>
      <x:c r="N404" s="2"/>
    </x:row>
    <x:row r="405" ht="22" customHeight="1">
      <x:c r="A405" s="4" t="d">
        <x:v>2018-04-01T00:00:00.000Z</x:v>
      </x:c>
      <x:c r="B405" s="2" t="str">
        <x:v>BA</x:v>
      </x:c>
      <x:c r="C405" s="8" t="n">
        <x:v>225</x:v>
      </x:c>
      <x:c r="D405" s="8" t="n">
        <x:v>216</x:v>
      </x:c>
      <x:c r="E405" s="9" t="n">
        <x:v>30278.85</x:v>
      </x:c>
      <x:c r="F405" s="9" t="n">
        <x:v>6602.91</x:v>
      </x:c>
      <x:c r="G405" s="8" t="n">
        <x:v>216</x:v>
      </x:c>
      <x:c r="H405" s="8" t="n">
        <x:v>40</x:v>
      </x:c>
      <x:c r="I405" s="8" t="n">
        <x:v>4843.7889699074</x:v>
      </x:c>
      <x:c r="J405" s="8" t="n">
        <x:v>213</x:v>
      </x:c>
      <x:c r="K405" s="8" t="n">
        <x:v>40</x:v>
      </x:c>
      <x:c r="L405" s="2"/>
      <x:c r="M405" s="2"/>
      <x:c r="N405" s="2"/>
    </x:row>
    <x:row r="406" ht="22" customHeight="1">
      <x:c r="A406" s="4" t="d">
        <x:v>2018-04-01T00:00:00.000Z</x:v>
      </x:c>
      <x:c r="B406" s="2" t="str">
        <x:v>CE</x:v>
      </x:c>
      <x:c r="C406" s="8" t="n">
        <x:v>100</x:v>
      </x:c>
      <x:c r="D406" s="8" t="n">
        <x:v>96</x:v>
      </x:c>
      <x:c r="E406" s="9" t="n">
        <x:v>16421.94</x:v>
      </x:c>
      <x:c r="F406" s="9" t="n">
        <x:v>3465.66</x:v>
      </x:c>
      <x:c r="G406" s="8" t="n">
        <x:v>96</x:v>
      </x:c>
      <x:c r="H406" s="8" t="n">
        <x:v>23</x:v>
      </x:c>
      <x:c r="I406" s="8" t="n">
        <x:v>2321.7746759259</x:v>
      </x:c>
      <x:c r="J406" s="8" t="n">
        <x:v>96</x:v>
      </x:c>
      <x:c r="K406" s="8" t="n">
        <x:v>19</x:v>
      </x:c>
      <x:c r="L406" s="2"/>
      <x:c r="M406" s="2"/>
      <x:c r="N406" s="2"/>
    </x:row>
    <x:row r="407" ht="22" customHeight="1">
      <x:c r="A407" s="4" t="d">
        <x:v>2018-04-01T00:00:00.000Z</x:v>
      </x:c>
      <x:c r="B407" s="2" t="str">
        <x:v>DF</x:v>
      </x:c>
      <x:c r="C407" s="8" t="n">
        <x:v>148</x:v>
      </x:c>
      <x:c r="D407" s="8" t="n">
        <x:v>146</x:v>
      </x:c>
      <x:c r="E407" s="9" t="n">
        <x:v>18186.79</x:v>
      </x:c>
      <x:c r="F407" s="9" t="n">
        <x:v>3280.46</x:v>
      </x:c>
      <x:c r="G407" s="8" t="n">
        <x:v>146</x:v>
      </x:c>
      <x:c r="H407" s="8" t="n">
        <x:v>3</x:v>
      </x:c>
      <x:c r="I407" s="8" t="n">
        <x:v>1652.8276041667</x:v>
      </x:c>
      <x:c r="J407" s="8" t="n">
        <x:v>144</x:v>
      </x:c>
      <x:c r="K407" s="8" t="n">
        <x:v>16</x:v>
      </x:c>
      <x:c r="L407" s="2"/>
      <x:c r="M407" s="2"/>
      <x:c r="N407" s="2"/>
    </x:row>
    <x:row r="408" ht="22" customHeight="1">
      <x:c r="A408" s="4" t="d">
        <x:v>2018-04-01T00:00:00.000Z</x:v>
      </x:c>
      <x:c r="B408" s="2" t="str">
        <x:v>ES</x:v>
      </x:c>
      <x:c r="C408" s="8" t="n">
        <x:v>142</x:v>
      </x:c>
      <x:c r="D408" s="8" t="n">
        <x:v>140</x:v>
      </x:c>
      <x:c r="E408" s="9" t="n">
        <x:v>15564.57</x:v>
      </x:c>
      <x:c r="F408" s="9" t="n">
        <x:v>3548.08</x:v>
      </x:c>
      <x:c r="G408" s="8" t="n">
        <x:v>140</x:v>
      </x:c>
      <x:c r="H408" s="8" t="n">
        <x:v>22</x:v>
      </x:c>
      <x:c r="I408" s="8" t="n">
        <x:v>2463.511875</x:v>
      </x:c>
      <x:c r="J408" s="8" t="n">
        <x:v>138</x:v>
      </x:c>
      <x:c r="K408" s="8" t="n">
        <x:v>23</x:v>
      </x:c>
      <x:c r="L408" s="2"/>
      <x:c r="M408" s="2"/>
      <x:c r="N408" s="2"/>
    </x:row>
    <x:row r="409" ht="22" customHeight="1">
      <x:c r="A409" s="4" t="d">
        <x:v>2018-04-01T00:00:00.000Z</x:v>
      </x:c>
      <x:c r="B409" s="2" t="str">
        <x:v>GO</x:v>
      </x:c>
      <x:c r="C409" s="8" t="n">
        <x:v>136</x:v>
      </x:c>
      <x:c r="D409" s="8" t="n">
        <x:v>132</x:v>
      </x:c>
      <x:c r="E409" s="9" t="n">
        <x:v>18838.67</x:v>
      </x:c>
      <x:c r="F409" s="9" t="n">
        <x:v>3391.84</x:v>
      </x:c>
      <x:c r="G409" s="8" t="n">
        <x:v>132</x:v>
      </x:c>
      <x:c r="H409" s="8" t="n">
        <x:v>6</x:v>
      </x:c>
      <x:c r="I409" s="8" t="n">
        <x:v>2025.2919328704</x:v>
      </x:c>
      <x:c r="J409" s="8" t="n">
        <x:v>131</x:v>
      </x:c>
      <x:c r="K409" s="8" t="n">
        <x:v>14</x:v>
      </x:c>
      <x:c r="L409" s="2"/>
      <x:c r="M409" s="2"/>
      <x:c r="N409" s="2"/>
    </x:row>
    <x:row r="410" ht="22" customHeight="1">
      <x:c r="A410" s="4" t="d">
        <x:v>2018-04-01T00:00:00.000Z</x:v>
      </x:c>
      <x:c r="B410" s="2" t="str">
        <x:v>MA</x:v>
      </x:c>
      <x:c r="C410" s="8" t="n">
        <x:v>46</x:v>
      </x:c>
      <x:c r="D410" s="8" t="n">
        <x:v>46</x:v>
      </x:c>
      <x:c r="E410" s="9" t="n">
        <x:v>7929.93</x:v>
      </x:c>
      <x:c r="F410" s="9" t="n">
        <x:v>2093.6</x:v>
      </x:c>
      <x:c r="G410" s="8" t="n">
        <x:v>46</x:v>
      </x:c>
      <x:c r="H410" s="8" t="n">
        <x:v>6</x:v>
      </x:c>
      <x:c r="I410" s="8" t="n">
        <x:v>920.9517939815</x:v>
      </x:c>
      <x:c r="J410" s="8" t="n">
        <x:v>46</x:v>
      </x:c>
      <x:c r="K410" s="8" t="n">
        <x:v>4</x:v>
      </x:c>
      <x:c r="L410" s="2"/>
      <x:c r="M410" s="2"/>
      <x:c r="N410" s="2"/>
    </x:row>
    <x:row r="411" ht="22" customHeight="1">
      <x:c r="A411" s="4" t="d">
        <x:v>2018-04-01T00:00:00.000Z</x:v>
      </x:c>
      <x:c r="B411" s="2" t="str">
        <x:v>MG</x:v>
      </x:c>
      <x:c r="C411" s="8" t="n">
        <x:v>786</x:v>
      </x:c>
      <x:c r="D411" s="8" t="n">
        <x:v>778</x:v>
      </x:c>
      <x:c r="E411" s="9" t="n">
        <x:v>109851.5</x:v>
      </x:c>
      <x:c r="F411" s="9" t="n">
        <x:v>18967.31</x:v>
      </x:c>
      <x:c r="G411" s="8" t="n">
        <x:v>778</x:v>
      </x:c>
      <x:c r="H411" s="8" t="n">
        <x:v>19</x:v>
      </x:c>
      <x:c r="I411" s="8" t="n">
        <x:v>8652.3373263889</x:v>
      </x:c>
      <x:c r="J411" s="8" t="n">
        <x:v>775</x:v>
      </x:c>
      <x:c r="K411" s="8" t="n">
        <x:v>86</x:v>
      </x:c>
      <x:c r="L411" s="2"/>
      <x:c r="M411" s="2"/>
      <x:c r="N411" s="2"/>
    </x:row>
    <x:row r="412" ht="22" customHeight="1">
      <x:c r="A412" s="4" t="d">
        <x:v>2018-04-01T00:00:00.000Z</x:v>
      </x:c>
      <x:c r="B412" s="2" t="str">
        <x:v>MS</x:v>
      </x:c>
      <x:c r="C412" s="8" t="n">
        <x:v>43</x:v>
      </x:c>
      <x:c r="D412" s="8" t="n">
        <x:v>43</x:v>
      </x:c>
      <x:c r="E412" s="9" t="n">
        <x:v>5875.85</x:v>
      </x:c>
      <x:c r="F412" s="9" t="n">
        <x:v>1177.29</x:v>
      </x:c>
      <x:c r="G412" s="8" t="n">
        <x:v>43</x:v>
      </x:c>
      <x:c r="H412" s="8" t="n">
        <x:v>3</x:v>
      </x:c>
      <x:c r="I412" s="8" t="n">
        <x:v>707.2546643519</x:v>
      </x:c>
      <x:c r="J412" s="8" t="n">
        <x:v>43</x:v>
      </x:c>
      <x:c r="K412" s="8" t="n">
        <x:v>7</x:v>
      </x:c>
      <x:c r="L412" s="2"/>
      <x:c r="M412" s="2"/>
      <x:c r="N412" s="2"/>
    </x:row>
    <x:row r="413" ht="22" customHeight="1">
      <x:c r="A413" s="4" t="d">
        <x:v>2018-04-01T00:00:00.000Z</x:v>
      </x:c>
      <x:c r="B413" s="2" t="str">
        <x:v>MT</x:v>
      </x:c>
      <x:c r="C413" s="8" t="n">
        <x:v>65</x:v>
      </x:c>
      <x:c r="D413" s="8" t="n">
        <x:v>64</x:v>
      </x:c>
      <x:c r="E413" s="9" t="n">
        <x:v>11354.49</x:v>
      </x:c>
      <x:c r="F413" s="9" t="n">
        <x:v>2187.96</x:v>
      </x:c>
      <x:c r="G413" s="8" t="n">
        <x:v>64</x:v>
      </x:c>
      <x:c r="H413" s="8" t="n">
        <x:v>1</x:v>
      </x:c>
      <x:c r="I413" s="8" t="n">
        <x:v>1160.5747685185</x:v>
      </x:c>
      <x:c r="J413" s="8" t="n">
        <x:v>64</x:v>
      </x:c>
      <x:c r="K413" s="8" t="n">
        <x:v>3</x:v>
      </x:c>
      <x:c r="L413" s="2"/>
      <x:c r="M413" s="2"/>
      <x:c r="N413" s="2"/>
    </x:row>
    <x:row r="414" ht="22" customHeight="1">
      <x:c r="A414" s="4" t="d">
        <x:v>2018-04-01T00:00:00.000Z</x:v>
      </x:c>
      <x:c r="B414" s="2" t="str">
        <x:v>PA</x:v>
      </x:c>
      <x:c r="C414" s="8" t="n">
        <x:v>71</x:v>
      </x:c>
      <x:c r="D414" s="8" t="n">
        <x:v>66</x:v>
      </x:c>
      <x:c r="E414" s="9" t="n">
        <x:v>11155.98</x:v>
      </x:c>
      <x:c r="F414" s="9" t="n">
        <x:v>2669.57</x:v>
      </x:c>
      <x:c r="G414" s="8" t="n">
        <x:v>66</x:v>
      </x:c>
      <x:c r="H414" s="8" t="n">
        <x:v>20</x:v>
      </x:c>
      <x:c r="I414" s="8" t="n">
        <x:v>2073.4313773148</x:v>
      </x:c>
      <x:c r="J414" s="8" t="n">
        <x:v>60</x:v>
      </x:c>
      <x:c r="K414" s="8" t="n">
        <x:v>16</x:v>
      </x:c>
      <x:c r="L414" s="2"/>
      <x:c r="M414" s="2"/>
      <x:c r="N414" s="2"/>
    </x:row>
    <x:row r="415" ht="22" customHeight="1">
      <x:c r="A415" s="4" t="d">
        <x:v>2018-04-01T00:00:00.000Z</x:v>
      </x:c>
      <x:c r="B415" s="2" t="str">
        <x:v>PB</x:v>
      </x:c>
      <x:c r="C415" s="8" t="n">
        <x:v>31</x:v>
      </x:c>
      <x:c r="D415" s="8" t="n">
        <x:v>28</x:v>
      </x:c>
      <x:c r="E415" s="9" t="n">
        <x:v>4215.25</x:v>
      </x:c>
      <x:c r="F415" s="9" t="n">
        <x:v>1301.12</x:v>
      </x:c>
      <x:c r="G415" s="8" t="n">
        <x:v>28</x:v>
      </x:c>
      <x:c r="H415" s="8" t="n">
        <x:v>6</x:v>
      </x:c>
      <x:c r="I415" s="8" t="n">
        <x:v>665.8192939815</x:v>
      </x:c>
      <x:c r="J415" s="8" t="n">
        <x:v>28</x:v>
      </x:c>
      <x:c r="K415" s="8" t="n">
        <x:v>7</x:v>
      </x:c>
      <x:c r="L415" s="2"/>
      <x:c r="M415" s="2"/>
      <x:c r="N415" s="2"/>
    </x:row>
    <x:row r="416" ht="22" customHeight="1">
      <x:c r="A416" s="4" t="d">
        <x:v>2018-04-01T00:00:00.000Z</x:v>
      </x:c>
      <x:c r="B416" s="2" t="str">
        <x:v>PE</x:v>
      </x:c>
      <x:c r="C416" s="8" t="n">
        <x:v>114</x:v>
      </x:c>
      <x:c r="D416" s="8" t="n">
        <x:v>110</x:v>
      </x:c>
      <x:c r="E416" s="9" t="n">
        <x:v>17071.61</x:v>
      </x:c>
      <x:c r="F416" s="9" t="n">
        <x:v>4438.89</x:v>
      </x:c>
      <x:c r="G416" s="8" t="n">
        <x:v>110</x:v>
      </x:c>
      <x:c r="H416" s="8" t="n">
        <x:v>15</x:v>
      </x:c>
      <x:c r="I416" s="8" t="n">
        <x:v>2282.4755208333</x:v>
      </x:c>
      <x:c r="J416" s="8" t="n">
        <x:v>109</x:v>
      </x:c>
      <x:c r="K416" s="8" t="n">
        <x:v>25</x:v>
      </x:c>
      <x:c r="L416" s="2"/>
      <x:c r="M416" s="2"/>
      <x:c r="N416" s="2"/>
    </x:row>
    <x:row r="417" ht="22" customHeight="1">
      <x:c r="A417" s="4" t="d">
        <x:v>2018-04-01T00:00:00.000Z</x:v>
      </x:c>
      <x:c r="B417" s="2" t="str">
        <x:v>PI</x:v>
      </x:c>
      <x:c r="C417" s="8" t="n">
        <x:v>37</x:v>
      </x:c>
      <x:c r="D417" s="8" t="n">
        <x:v>34</x:v>
      </x:c>
      <x:c r="E417" s="9" t="n">
        <x:v>10365.04</x:v>
      </x:c>
      <x:c r="F417" s="9" t="n">
        <x:v>1992.27</x:v>
      </x:c>
      <x:c r="G417" s="8" t="n">
        <x:v>34</x:v>
      </x:c>
      <x:c r="H417" s="8" t="n">
        <x:v>4</x:v>
      </x:c>
      <x:c r="I417" s="8" t="n">
        <x:v>556.1591203704</x:v>
      </x:c>
      <x:c r="J417" s="8" t="n">
        <x:v>34</x:v>
      </x:c>
      <x:c r="K417" s="8" t="n">
        <x:v>5</x:v>
      </x:c>
      <x:c r="L417" s="2"/>
      <x:c r="M417" s="2"/>
      <x:c r="N417" s="2"/>
    </x:row>
    <x:row r="418" ht="22" customHeight="1">
      <x:c r="A418" s="4" t="d">
        <x:v>2018-04-01T00:00:00.000Z</x:v>
      </x:c>
      <x:c r="B418" s="2" t="str">
        <x:v>PR</x:v>
      </x:c>
      <x:c r="C418" s="8" t="n">
        <x:v>386</x:v>
      </x:c>
      <x:c r="D418" s="8" t="n">
        <x:v>381</x:v>
      </x:c>
      <x:c r="E418" s="9" t="n">
        <x:v>65914.88</x:v>
      </x:c>
      <x:c r="F418" s="9" t="n">
        <x:v>10320.32</x:v>
      </x:c>
      <x:c r="G418" s="8" t="n">
        <x:v>381</x:v>
      </x:c>
      <x:c r="H418" s="8" t="n">
        <x:v>5</x:v>
      </x:c>
      <x:c r="I418" s="8" t="n">
        <x:v>3874.3518865741</x:v>
      </x:c>
      <x:c r="J418" s="8" t="n">
        <x:v>380</x:v>
      </x:c>
      <x:c r="K418" s="8" t="n">
        <x:v>36</x:v>
      </x:c>
      <x:c r="L418" s="2"/>
      <x:c r="M418" s="2"/>
      <x:c r="N418" s="2"/>
    </x:row>
    <x:row r="419" ht="22" customHeight="1">
      <x:c r="A419" s="4" t="d">
        <x:v>2018-04-01T00:00:00.000Z</x:v>
      </x:c>
      <x:c r="B419" s="2" t="str">
        <x:v>RJ</x:v>
      </x:c>
      <x:c r="C419" s="8" t="n">
        <x:v>834</x:v>
      </x:c>
      <x:c r="D419" s="8" t="n">
        <x:v>807</x:v>
      </x:c>
      <x:c r="E419" s="9" t="n">
        <x:v>119055.34</x:v>
      </x:c>
      <x:c r="F419" s="9" t="n">
        <x:v>20617.37</x:v>
      </x:c>
      <x:c r="G419" s="8" t="n">
        <x:v>807</x:v>
      </x:c>
      <x:c r="H419" s="8" t="n">
        <x:v>39</x:v>
      </x:c>
      <x:c r="I419" s="8" t="n">
        <x:v>11526.0700925926</x:v>
      </x:c>
      <x:c r="J419" s="8" t="n">
        <x:v>799</x:v>
      </x:c>
      <x:c r="K419" s="8" t="n">
        <x:v>118</x:v>
      </x:c>
      <x:c r="L419" s="2"/>
      <x:c r="M419" s="2"/>
      <x:c r="N419" s="2"/>
    </x:row>
    <x:row r="420" ht="22" customHeight="1">
      <x:c r="A420" s="4" t="d">
        <x:v>2018-04-01T00:00:00.000Z</x:v>
      </x:c>
      <x:c r="B420" s="2" t="str">
        <x:v>RN</x:v>
      </x:c>
      <x:c r="C420" s="8" t="n">
        <x:v>32</x:v>
      </x:c>
      <x:c r="D420" s="8" t="n">
        <x:v>32</x:v>
      </x:c>
      <x:c r="E420" s="9" t="n">
        <x:v>6001.74</x:v>
      </x:c>
      <x:c r="F420" s="9" t="n">
        <x:v>1517.1</x:v>
      </x:c>
      <x:c r="G420" s="8" t="n">
        <x:v>32</x:v>
      </x:c>
      <x:c r="H420" s="8" t="n">
        <x:v>10</x:v>
      </x:c>
      <x:c r="I420" s="8" t="n">
        <x:v>874.4835763889</x:v>
      </x:c>
      <x:c r="J420" s="8" t="n">
        <x:v>31</x:v>
      </x:c>
      <x:c r="K420" s="8" t="n">
        <x:v>10</x:v>
      </x:c>
      <x:c r="L420" s="2"/>
      <x:c r="M420" s="2"/>
      <x:c r="N420" s="2"/>
    </x:row>
    <x:row r="421" ht="22" customHeight="1">
      <x:c r="A421" s="4" t="d">
        <x:v>2018-04-01T00:00:00.000Z</x:v>
      </x:c>
      <x:c r="B421" s="2" t="str">
        <x:v>RO</x:v>
      </x:c>
      <x:c r="C421" s="8" t="n">
        <x:v>11</x:v>
      </x:c>
      <x:c r="D421" s="8" t="n">
        <x:v>11</x:v>
      </x:c>
      <x:c r="E421" s="9" t="n">
        <x:v>3499.77</x:v>
      </x:c>
      <x:c r="F421" s="9" t="n">
        <x:v>585.95</x:v>
      </x:c>
      <x:c r="G421" s="8" t="n">
        <x:v>11</x:v>
      </x:c>
      <x:c r="H421" s="8" t="n">
        <x:v>0</x:v>
      </x:c>
      <x:c r="I421" s="8" t="n">
        <x:v>247.9399884259</x:v>
      </x:c>
      <x:c r="J421" s="8" t="n">
        <x:v>11</x:v>
      </x:c>
      <x:c r="K421" s="8" t="n">
        <x:v>1</x:v>
      </x:c>
      <x:c r="L421" s="2"/>
      <x:c r="M421" s="2"/>
      <x:c r="N421" s="2"/>
    </x:row>
    <x:row r="422" ht="22" customHeight="1">
      <x:c r="A422" s="4" t="d">
        <x:v>2018-04-01T00:00:00.000Z</x:v>
      </x:c>
      <x:c r="B422" s="2" t="str">
        <x:v>RR</x:v>
      </x:c>
      <x:c r="C422" s="8" t="n">
        <x:v>2</x:v>
      </x:c>
      <x:c r="D422" s="8" t="n">
        <x:v>2</x:v>
      </x:c>
      <x:c r="E422" s="9" t="n">
        <x:v>712.65</x:v>
      </x:c>
      <x:c r="F422" s="9" t="n">
        <x:v>59.36</x:v>
      </x:c>
      <x:c r="G422" s="8" t="n">
        <x:v>2</x:v>
      </x:c>
      <x:c r="H422" s="8" t="n">
        <x:v>1</x:v>
      </x:c>
      <x:c r="I422" s="8" t="n">
        <x:v>85.486099537</x:v>
      </x:c>
      <x:c r="J422" s="8" t="n">
        <x:v>2</x:v>
      </x:c>
      <x:c r="K422" s="8" t="n">
        <x:v>1</x:v>
      </x:c>
      <x:c r="L422" s="2"/>
      <x:c r="M422" s="2"/>
      <x:c r="N422" s="2"/>
    </x:row>
    <x:row r="423" ht="22" customHeight="1">
      <x:c r="A423" s="4" t="d">
        <x:v>2018-04-01T00:00:00.000Z</x:v>
      </x:c>
      <x:c r="B423" s="2" t="str">
        <x:v>RS</x:v>
      </x:c>
      <x:c r="C423" s="8" t="n">
        <x:v>349</x:v>
      </x:c>
      <x:c r="D423" s="8" t="n">
        <x:v>345</x:v>
      </x:c>
      <x:c r="E423" s="9" t="n">
        <x:v>50165.45</x:v>
      </x:c>
      <x:c r="F423" s="9" t="n">
        <x:v>8612.12</x:v>
      </x:c>
      <x:c r="G423" s="8" t="n">
        <x:v>345</x:v>
      </x:c>
      <x:c r="H423" s="8" t="n">
        <x:v>12</x:v>
      </x:c>
      <x:c r="I423" s="8" t="n">
        <x:v>4602.2697337963</x:v>
      </x:c>
      <x:c r="J423" s="8" t="n">
        <x:v>344</x:v>
      </x:c>
      <x:c r="K423" s="8" t="n">
        <x:v>37</x:v>
      </x:c>
      <x:c r="L423" s="2"/>
      <x:c r="M423" s="2"/>
      <x:c r="N423" s="2"/>
    </x:row>
    <x:row r="424" ht="22" customHeight="1">
      <x:c r="A424" s="4" t="d">
        <x:v>2018-04-01T00:00:00.000Z</x:v>
      </x:c>
      <x:c r="B424" s="2" t="str">
        <x:v>SC</x:v>
      </x:c>
      <x:c r="C424" s="8" t="n">
        <x:v>246</x:v>
      </x:c>
      <x:c r="D424" s="8" t="n">
        <x:v>245</x:v>
      </x:c>
      <x:c r="E424" s="9" t="n">
        <x:v>44555.86</x:v>
      </x:c>
      <x:c r="F424" s="9" t="n">
        <x:v>7173.84</x:v>
      </x:c>
      <x:c r="G424" s="8" t="n">
        <x:v>245</x:v>
      </x:c>
      <x:c r="H424" s="8" t="n">
        <x:v>5</x:v>
      </x:c>
      <x:c r="I424" s="8" t="n">
        <x:v>2943.3557523148</x:v>
      </x:c>
      <x:c r="J424" s="8" t="n">
        <x:v>243</x:v>
      </x:c>
      <x:c r="K424" s="8" t="n">
        <x:v>20</x:v>
      </x:c>
      <x:c r="L424" s="2"/>
      <x:c r="M424" s="2"/>
      <x:c r="N424" s="2"/>
    </x:row>
    <x:row r="425" ht="22" customHeight="1">
      <x:c r="A425" s="4" t="d">
        <x:v>2018-04-01T00:00:00.000Z</x:v>
      </x:c>
      <x:c r="B425" s="2" t="str">
        <x:v>SE</x:v>
      </x:c>
      <x:c r="C425" s="8" t="n">
        <x:v>14</x:v>
      </x:c>
      <x:c r="D425" s="8" t="n">
        <x:v>13</x:v>
      </x:c>
      <x:c r="E425" s="9" t="n">
        <x:v>3109.42</x:v>
      </x:c>
      <x:c r="F425" s="9" t="n">
        <x:v>423.56</x:v>
      </x:c>
      <x:c r="G425" s="8" t="n">
        <x:v>13</x:v>
      </x:c>
      <x:c r="H425" s="8" t="n">
        <x:v>6</x:v>
      </x:c>
      <x:c r="I425" s="8" t="n">
        <x:v>380.8472685185</x:v>
      </x:c>
      <x:c r="J425" s="8" t="n">
        <x:v>13</x:v>
      </x:c>
      <x:c r="K425" s="8" t="n">
        <x:v>6</x:v>
      </x:c>
      <x:c r="L425" s="2"/>
      <x:c r="M425" s="2"/>
      <x:c r="N425" s="2"/>
    </x:row>
    <x:row r="426" ht="22" customHeight="1">
      <x:c r="A426" s="4" t="d">
        <x:v>2018-04-01T00:00:00.000Z</x:v>
      </x:c>
      <x:c r="B426" s="2" t="str">
        <x:v>SP</x:v>
      </x:c>
      <x:c r="C426" s="8" t="n">
        <x:v>3059</x:v>
      </x:c>
      <x:c r="D426" s="8" t="n">
        <x:v>3002</x:v>
      </x:c>
      <x:c r="E426" s="9" t="n">
        <x:v>391246.99</x:v>
      </x:c>
      <x:c r="F426" s="9" t="n">
        <x:v>52178.35</x:v>
      </x:c>
      <x:c r="G426" s="8" t="n">
        <x:v>3002</x:v>
      </x:c>
      <x:c r="H426" s="8" t="n">
        <x:v>51</x:v>
      </x:c>
      <x:c r="I426" s="8" t="n">
        <x:v>21915.2765625</x:v>
      </x:c>
      <x:c r="J426" s="8" t="n">
        <x:v>2988</x:v>
      </x:c>
      <x:c r="K426" s="8" t="n">
        <x:v>292</x:v>
      </x:c>
      <x:c r="L426" s="2"/>
      <x:c r="M426" s="2"/>
      <x:c r="N426" s="2"/>
    </x:row>
    <x:row r="427" ht="22" customHeight="1">
      <x:c r="A427" s="4" t="d">
        <x:v>2018-04-01T00:00:00.000Z</x:v>
      </x:c>
      <x:c r="B427" s="2" t="str">
        <x:v>TO</x:v>
      </x:c>
      <x:c r="C427" s="8" t="n">
        <x:v>19</x:v>
      </x:c>
      <x:c r="D427" s="8" t="n">
        <x:v>19</x:v>
      </x:c>
      <x:c r="E427" s="9" t="n">
        <x:v>4291.82</x:v>
      </x:c>
      <x:c r="F427" s="9" t="n">
        <x:v>1078.69</x:v>
      </x:c>
      <x:c r="G427" s="8" t="n">
        <x:v>19</x:v>
      </x:c>
      <x:c r="H427" s="8" t="n">
        <x:v>1</x:v>
      </x:c>
      <x:c r="I427" s="8" t="n">
        <x:v>317.029525463</x:v>
      </x:c>
      <x:c r="J427" s="8" t="n">
        <x:v>19</x:v>
      </x:c>
      <x:c r="K427" s="8" t="n">
        <x:v>1</x:v>
      </x:c>
      <x:c r="L427" s="2"/>
      <x:c r="M427" s="2"/>
      <x:c r="N427" s="2"/>
    </x:row>
    <x:row r="428" ht="22" customHeight="1">
      <x:c r="A428" s="4" t="d">
        <x:v>2018-05-01T00:00:00.000Z</x:v>
      </x:c>
      <x:c r="B428" s="2" t="str">
        <x:v>AC</x:v>
      </x:c>
      <x:c r="C428" s="8" t="n">
        <x:v>2</x:v>
      </x:c>
      <x:c r="D428" s="8" t="n">
        <x:v>2</x:v>
      </x:c>
      <x:c r="E428" s="9" t="n">
        <x:v>1364.89</x:v>
      </x:c>
      <x:c r="F428" s="9" t="n">
        <x:v>136.53</x:v>
      </x:c>
      <x:c r="G428" s="8" t="n">
        <x:v>2</x:v>
      </x:c>
      <x:c r="H428" s="8" t="n">
        <x:v>0</x:v>
      </x:c>
      <x:c r="I428" s="8" t="n">
        <x:v>41.1704166667</x:v>
      </x:c>
      <x:c r="J428" s="8" t="n">
        <x:v>2</x:v>
      </x:c>
      <x:c r="K428" s="8" t="n">
        <x:v>0</x:v>
      </x:c>
      <x:c r="L428" s="2"/>
      <x:c r="M428" s="2"/>
      <x:c r="N428" s="2"/>
    </x:row>
    <x:row r="429" ht="22" customHeight="1">
      <x:c r="A429" s="4" t="d">
        <x:v>2018-05-01T00:00:00.000Z</x:v>
      </x:c>
      <x:c r="B429" s="2" t="str">
        <x:v>AL</x:v>
      </x:c>
      <x:c r="C429" s="8" t="n">
        <x:v>19</x:v>
      </x:c>
      <x:c r="D429" s="8" t="n">
        <x:v>19</x:v>
      </x:c>
      <x:c r="E429" s="9" t="n">
        <x:v>3657.09</x:v>
      </x:c>
      <x:c r="F429" s="9" t="n">
        <x:v>736.01</x:v>
      </x:c>
      <x:c r="G429" s="8" t="n">
        <x:v>19</x:v>
      </x:c>
      <x:c r="H429" s="8" t="n">
        <x:v>2</x:v>
      </x:c>
      <x:c r="I429" s="8" t="n">
        <x:v>408.2694444444</x:v>
      </x:c>
      <x:c r="J429" s="8" t="n">
        <x:v>19</x:v>
      </x:c>
      <x:c r="K429" s="8" t="n">
        <x:v>1</x:v>
      </x:c>
      <x:c r="L429" s="2"/>
      <x:c r="M429" s="2"/>
      <x:c r="N429" s="2"/>
    </x:row>
    <x:row r="430" ht="22" customHeight="1">
      <x:c r="A430" s="4" t="d">
        <x:v>2018-05-01T00:00:00.000Z</x:v>
      </x:c>
      <x:c r="B430" s="2" t="str">
        <x:v>AM</x:v>
      </x:c>
      <x:c r="C430" s="8" t="n">
        <x:v>9</x:v>
      </x:c>
      <x:c r="D430" s="8" t="n">
        <x:v>9</x:v>
      </x:c>
      <x:c r="E430" s="9" t="n">
        <x:v>1811.8</x:v>
      </x:c>
      <x:c r="F430" s="9" t="n">
        <x:v>369.99</x:v>
      </x:c>
      <x:c r="G430" s="8" t="n">
        <x:v>9</x:v>
      </x:c>
      <x:c r="H430" s="8" t="n">
        <x:v>0</x:v>
      </x:c>
      <x:c r="I430" s="8" t="n">
        <x:v>238.4275231481</x:v>
      </x:c>
      <x:c r="J430" s="8" t="n">
        <x:v>9</x:v>
      </x:c>
      <x:c r="K430" s="8" t="n">
        <x:v>0</x:v>
      </x:c>
      <x:c r="L430" s="2"/>
      <x:c r="M430" s="2"/>
      <x:c r="N430" s="2"/>
    </x:row>
    <x:row r="431" ht="22" customHeight="1">
      <x:c r="A431" s="4" t="d">
        <x:v>2018-05-01T00:00:00.000Z</x:v>
      </x:c>
      <x:c r="B431" s="2" t="str">
        <x:v>AP</x:v>
      </x:c>
      <x:c r="C431" s="8" t="n">
        <x:v>6</x:v>
      </x:c>
      <x:c r="D431" s="8" t="n">
        <x:v>6</x:v>
      </x:c>
      <x:c r="E431" s="9" t="n">
        <x:v>955.68</x:v>
      </x:c>
      <x:c r="F431" s="9" t="n">
        <x:v>234.25</x:v>
      </x:c>
      <x:c r="G431" s="8" t="n">
        <x:v>6</x:v>
      </x:c>
      <x:c r="H431" s="8" t="n">
        <x:v>0</x:v>
      </x:c>
      <x:c r="I431" s="8" t="n">
        <x:v>142.4953703704</x:v>
      </x:c>
      <x:c r="J431" s="8" t="n">
        <x:v>6</x:v>
      </x:c>
      <x:c r="K431" s="8" t="n">
        <x:v>0</x:v>
      </x:c>
      <x:c r="L431" s="2"/>
      <x:c r="M431" s="2"/>
      <x:c r="N431" s="2"/>
    </x:row>
    <x:row r="432" ht="22" customHeight="1">
      <x:c r="A432" s="4" t="d">
        <x:v>2018-05-01T00:00:00.000Z</x:v>
      </x:c>
      <x:c r="B432" s="2" t="str">
        <x:v>BA</x:v>
      </x:c>
      <x:c r="C432" s="8" t="n">
        <x:v>241</x:v>
      </x:c>
      <x:c r="D432" s="8" t="n">
        <x:v>237</x:v>
      </x:c>
      <x:c r="E432" s="9" t="n">
        <x:v>34970.44</x:v>
      </x:c>
      <x:c r="F432" s="9" t="n">
        <x:v>7343.34</x:v>
      </x:c>
      <x:c r="G432" s="8" t="n">
        <x:v>237</x:v>
      </x:c>
      <x:c r="H432" s="8" t="n">
        <x:v>47</x:v>
      </x:c>
      <x:c r="I432" s="8" t="n">
        <x:v>4826.0661458333</x:v>
      </x:c>
      <x:c r="J432" s="8" t="n">
        <x:v>235</x:v>
      </x:c>
      <x:c r="K432" s="8" t="n">
        <x:v>43</x:v>
      </x:c>
      <x:c r="L432" s="2"/>
      <x:c r="M432" s="2"/>
      <x:c r="N432" s="2"/>
    </x:row>
    <x:row r="433" ht="22" customHeight="1">
      <x:c r="A433" s="4" t="d">
        <x:v>2018-05-01T00:00:00.000Z</x:v>
      </x:c>
      <x:c r="B433" s="2" t="str">
        <x:v>CE</x:v>
      </x:c>
      <x:c r="C433" s="8" t="n">
        <x:v>74</x:v>
      </x:c>
      <x:c r="D433" s="8" t="n">
        <x:v>72</x:v>
      </x:c>
      <x:c r="E433" s="9" t="n">
        <x:v>11930.56</x:v>
      </x:c>
      <x:c r="F433" s="9" t="n">
        <x:v>2564.78</x:v>
      </x:c>
      <x:c r="G433" s="8" t="n">
        <x:v>72</x:v>
      </x:c>
      <x:c r="H433" s="8" t="n">
        <x:v>8</x:v>
      </x:c>
      <x:c r="I433" s="8" t="n">
        <x:v>1526.2498958333</x:v>
      </x:c>
      <x:c r="J433" s="8" t="n">
        <x:v>72</x:v>
      </x:c>
      <x:c r="K433" s="8" t="n">
        <x:v>6</x:v>
      </x:c>
      <x:c r="L433" s="2"/>
      <x:c r="M433" s="2"/>
      <x:c r="N433" s="2"/>
    </x:row>
    <x:row r="434" ht="22" customHeight="1">
      <x:c r="A434" s="4" t="d">
        <x:v>2018-05-01T00:00:00.000Z</x:v>
      </x:c>
      <x:c r="B434" s="2" t="str">
        <x:v>DF</x:v>
      </x:c>
      <x:c r="C434" s="8" t="n">
        <x:v>144</x:v>
      </x:c>
      <x:c r="D434" s="8" t="n">
        <x:v>140</x:v>
      </x:c>
      <x:c r="E434" s="9" t="n">
        <x:v>25182.6</x:v>
      </x:c>
      <x:c r="F434" s="9" t="n">
        <x:v>3653.76</x:v>
      </x:c>
      <x:c r="G434" s="8" t="n">
        <x:v>140</x:v>
      </x:c>
      <x:c r="H434" s="8" t="n">
        <x:v>13</x:v>
      </x:c>
      <x:c r="I434" s="8" t="n">
        <x:v>1667.1069907407</x:v>
      </x:c>
      <x:c r="J434" s="8" t="n">
        <x:v>139</x:v>
      </x:c>
      <x:c r="K434" s="8" t="n">
        <x:v>17</x:v>
      </x:c>
      <x:c r="L434" s="2"/>
      <x:c r="M434" s="2"/>
      <x:c r="N434" s="2"/>
    </x:row>
    <x:row r="435" ht="22" customHeight="1">
      <x:c r="A435" s="4" t="d">
        <x:v>2018-05-01T00:00:00.000Z</x:v>
      </x:c>
      <x:c r="B435" s="2" t="str">
        <x:v>ES</x:v>
      </x:c>
      <x:c r="C435" s="8" t="n">
        <x:v>134</x:v>
      </x:c>
      <x:c r="D435" s="8" t="n">
        <x:v>132</x:v>
      </x:c>
      <x:c r="E435" s="9" t="n">
        <x:v>18652.84</x:v>
      </x:c>
      <x:c r="F435" s="9" t="n">
        <x:v>3384.84</x:v>
      </x:c>
      <x:c r="G435" s="8" t="n">
        <x:v>132</x:v>
      </x:c>
      <x:c r="H435" s="8" t="n">
        <x:v>21</x:v>
      </x:c>
      <x:c r="I435" s="8" t="n">
        <x:v>2115.7922685185</x:v>
      </x:c>
      <x:c r="J435" s="8" t="n">
        <x:v>130</x:v>
      </x:c>
      <x:c r="K435" s="8" t="n">
        <x:v>17</x:v>
      </x:c>
      <x:c r="L435" s="2"/>
      <x:c r="M435" s="2"/>
      <x:c r="N435" s="2"/>
    </x:row>
    <x:row r="436" ht="22" customHeight="1">
      <x:c r="A436" s="4" t="d">
        <x:v>2018-05-01T00:00:00.000Z</x:v>
      </x:c>
      <x:c r="B436" s="2" t="str">
        <x:v>GO</x:v>
      </x:c>
      <x:c r="C436" s="8" t="n">
        <x:v>139</x:v>
      </x:c>
      <x:c r="D436" s="8" t="n">
        <x:v>136</x:v>
      </x:c>
      <x:c r="E436" s="9" t="n">
        <x:v>23905.25</x:v>
      </x:c>
      <x:c r="F436" s="9" t="n">
        <x:v>3632.52</x:v>
      </x:c>
      <x:c r="G436" s="8" t="n">
        <x:v>136</x:v>
      </x:c>
      <x:c r="H436" s="8" t="n">
        <x:v>7</x:v>
      </x:c>
      <x:c r="I436" s="8" t="n">
        <x:v>1885.6698726852</x:v>
      </x:c>
      <x:c r="J436" s="8" t="n">
        <x:v>136</x:v>
      </x:c>
      <x:c r="K436" s="8" t="n">
        <x:v>21</x:v>
      </x:c>
      <x:c r="L436" s="2"/>
      <x:c r="M436" s="2"/>
      <x:c r="N436" s="2"/>
    </x:row>
    <x:row r="437" ht="22" customHeight="1">
      <x:c r="A437" s="4" t="d">
        <x:v>2018-05-01T00:00:00.000Z</x:v>
      </x:c>
      <x:c r="B437" s="2" t="str">
        <x:v>MA</x:v>
      </x:c>
      <x:c r="C437" s="8" t="n">
        <x:v>32</x:v>
      </x:c>
      <x:c r="D437" s="8" t="n">
        <x:v>32</x:v>
      </x:c>
      <x:c r="E437" s="9" t="n">
        <x:v>7084.04</x:v>
      </x:c>
      <x:c r="F437" s="9" t="n">
        <x:v>1505.51</x:v>
      </x:c>
      <x:c r="G437" s="8" t="n">
        <x:v>32</x:v>
      </x:c>
      <x:c r="H437" s="8" t="n">
        <x:v>2</x:v>
      </x:c>
      <x:c r="I437" s="8" t="n">
        <x:v>601.2720486111</x:v>
      </x:c>
      <x:c r="J437" s="8" t="n">
        <x:v>32</x:v>
      </x:c>
      <x:c r="K437" s="8" t="n">
        <x:v>5</x:v>
      </x:c>
      <x:c r="L437" s="2"/>
      <x:c r="M437" s="2"/>
      <x:c r="N437" s="2"/>
    </x:row>
    <x:row r="438" ht="22" customHeight="1">
      <x:c r="A438" s="4" t="d">
        <x:v>2018-05-01T00:00:00.000Z</x:v>
      </x:c>
      <x:c r="B438" s="2" t="str">
        <x:v>MG</x:v>
      </x:c>
      <x:c r="C438" s="8" t="n">
        <x:v>762</x:v>
      </x:c>
      <x:c r="D438" s="8" t="n">
        <x:v>751</x:v>
      </x:c>
      <x:c r="E438" s="9" t="n">
        <x:v>101778.35</x:v>
      </x:c>
      <x:c r="F438" s="9" t="n">
        <x:v>17730.23</x:v>
      </x:c>
      <x:c r="G438" s="8" t="n">
        <x:v>751</x:v>
      </x:c>
      <x:c r="H438" s="8" t="n">
        <x:v>69</x:v>
      </x:c>
      <x:c r="I438" s="8" t="n">
        <x:v>9020.176875</x:v>
      </x:c>
      <x:c r="J438" s="8" t="n">
        <x:v>747</x:v>
      </x:c>
      <x:c r="K438" s="8" t="n">
        <x:v>86</x:v>
      </x:c>
      <x:c r="L438" s="2"/>
      <x:c r="M438" s="2"/>
      <x:c r="N438" s="2"/>
    </x:row>
    <x:row r="439" ht="22" customHeight="1">
      <x:c r="A439" s="4" t="d">
        <x:v>2018-05-01T00:00:00.000Z</x:v>
      </x:c>
      <x:c r="B439" s="2" t="str">
        <x:v>MS</x:v>
      </x:c>
      <x:c r="C439" s="8" t="n">
        <x:v>45</x:v>
      </x:c>
      <x:c r="D439" s="8" t="n">
        <x:v>44</x:v>
      </x:c>
      <x:c r="E439" s="9" t="n">
        <x:v>9923.06</x:v>
      </x:c>
      <x:c r="F439" s="9" t="n">
        <x:v>1136.67</x:v>
      </x:c>
      <x:c r="G439" s="8" t="n">
        <x:v>44</x:v>
      </x:c>
      <x:c r="H439" s="8" t="n">
        <x:v>4</x:v>
      </x:c>
      <x:c r="I439" s="8" t="n">
        <x:v>597.6324074074</x:v>
      </x:c>
      <x:c r="J439" s="8" t="n">
        <x:v>44</x:v>
      </x:c>
      <x:c r="K439" s="8" t="n">
        <x:v>4</x:v>
      </x:c>
      <x:c r="L439" s="2"/>
      <x:c r="M439" s="2"/>
      <x:c r="N439" s="2"/>
    </x:row>
    <x:row r="440" ht="22" customHeight="1">
      <x:c r="A440" s="4" t="d">
        <x:v>2018-05-01T00:00:00.000Z</x:v>
      </x:c>
      <x:c r="B440" s="2" t="str">
        <x:v>MT</x:v>
      </x:c>
      <x:c r="C440" s="8" t="n">
        <x:v>67</x:v>
      </x:c>
      <x:c r="D440" s="8" t="n">
        <x:v>66</x:v>
      </x:c>
      <x:c r="E440" s="9" t="n">
        <x:v>12261.85</x:v>
      </x:c>
      <x:c r="F440" s="9" t="n">
        <x:v>2528.04</x:v>
      </x:c>
      <x:c r="G440" s="8" t="n">
        <x:v>66</x:v>
      </x:c>
      <x:c r="H440" s="8" t="n">
        <x:v>2</x:v>
      </x:c>
      <x:c r="I440" s="8" t="n">
        <x:v>1081.4631944444</x:v>
      </x:c>
      <x:c r="J440" s="8" t="n">
        <x:v>66</x:v>
      </x:c>
      <x:c r="K440" s="8" t="n">
        <x:v>4</x:v>
      </x:c>
      <x:c r="L440" s="2"/>
      <x:c r="M440" s="2"/>
      <x:c r="N440" s="2"/>
    </x:row>
    <x:row r="441" ht="22" customHeight="1">
      <x:c r="A441" s="4" t="d">
        <x:v>2018-05-01T00:00:00.000Z</x:v>
      </x:c>
      <x:c r="B441" s="2" t="str">
        <x:v>PA</x:v>
      </x:c>
      <x:c r="C441" s="8" t="n">
        <x:v>40</x:v>
      </x:c>
      <x:c r="D441" s="8" t="n">
        <x:v>40</x:v>
      </x:c>
      <x:c r="E441" s="9" t="n">
        <x:v>7455.64</x:v>
      </x:c>
      <x:c r="F441" s="9" t="n">
        <x:v>1704.91</x:v>
      </x:c>
      <x:c r="G441" s="8" t="n">
        <x:v>40</x:v>
      </x:c>
      <x:c r="H441" s="8" t="n">
        <x:v>5</x:v>
      </x:c>
      <x:c r="I441" s="8" t="n">
        <x:v>1017.944375</x:v>
      </x:c>
      <x:c r="J441" s="8" t="n">
        <x:v>39</x:v>
      </x:c>
      <x:c r="K441" s="8" t="n">
        <x:v>7</x:v>
      </x:c>
      <x:c r="L441" s="2"/>
      <x:c r="M441" s="2"/>
      <x:c r="N441" s="2"/>
    </x:row>
    <x:row r="442" ht="22" customHeight="1">
      <x:c r="A442" s="4" t="d">
        <x:v>2018-05-01T00:00:00.000Z</x:v>
      </x:c>
      <x:c r="B442" s="2" t="str">
        <x:v>PB</x:v>
      </x:c>
      <x:c r="C442" s="8" t="n">
        <x:v>29</x:v>
      </x:c>
      <x:c r="D442" s="8" t="n">
        <x:v>29</x:v>
      </x:c>
      <x:c r="E442" s="9" t="n">
        <x:v>4860.44</x:v>
      </x:c>
      <x:c r="F442" s="9" t="n">
        <x:v>1049.15</x:v>
      </x:c>
      <x:c r="G442" s="8" t="n">
        <x:v>29</x:v>
      </x:c>
      <x:c r="H442" s="8" t="n">
        <x:v>1</x:v>
      </x:c>
      <x:c r="I442" s="8" t="n">
        <x:v>600.1134722222</x:v>
      </x:c>
      <x:c r="J442" s="8" t="n">
        <x:v>29</x:v>
      </x:c>
      <x:c r="K442" s="8" t="n">
        <x:v>1</x:v>
      </x:c>
      <x:c r="L442" s="2"/>
      <x:c r="M442" s="2"/>
      <x:c r="N442" s="2"/>
    </x:row>
    <x:row r="443" ht="22" customHeight="1">
      <x:c r="A443" s="4" t="d">
        <x:v>2018-05-01T00:00:00.000Z</x:v>
      </x:c>
      <x:c r="B443" s="2" t="str">
        <x:v>PE</x:v>
      </x:c>
      <x:c r="C443" s="8" t="n">
        <x:v>106</x:v>
      </x:c>
      <x:c r="D443" s="8" t="n">
        <x:v>102</x:v>
      </x:c>
      <x:c r="E443" s="9" t="n">
        <x:v>13584.03</x:v>
      </x:c>
      <x:c r="F443" s="9" t="n">
        <x:v>2922.2</x:v>
      </x:c>
      <x:c r="G443" s="8" t="n">
        <x:v>102</x:v>
      </x:c>
      <x:c r="H443" s="8" t="n">
        <x:v>12</x:v>
      </x:c>
      <x:c r="I443" s="8" t="n">
        <x:v>1870.4209606481</x:v>
      </x:c>
      <x:c r="J443" s="8" t="n">
        <x:v>101</x:v>
      </x:c>
      <x:c r="K443" s="8" t="n">
        <x:v>16</x:v>
      </x:c>
      <x:c r="L443" s="2"/>
      <x:c r="M443" s="2"/>
      <x:c r="N443" s="2"/>
    </x:row>
    <x:row r="444" ht="22" customHeight="1">
      <x:c r="A444" s="4" t="d">
        <x:v>2018-05-01T00:00:00.000Z</x:v>
      </x:c>
      <x:c r="B444" s="2" t="str">
        <x:v>PI</x:v>
      </x:c>
      <x:c r="C444" s="8" t="n">
        <x:v>31</x:v>
      </x:c>
      <x:c r="D444" s="8" t="n">
        <x:v>30</x:v>
      </x:c>
      <x:c r="E444" s="9" t="n">
        <x:v>6675.71</x:v>
      </x:c>
      <x:c r="F444" s="9" t="n">
        <x:v>1747.23</x:v>
      </x:c>
      <x:c r="G444" s="8" t="n">
        <x:v>30</x:v>
      </x:c>
      <x:c r="H444" s="8" t="n">
        <x:v>6</x:v>
      </x:c>
      <x:c r="I444" s="8" t="n">
        <x:v>632.0281712963</x:v>
      </x:c>
      <x:c r="J444" s="8" t="n">
        <x:v>30</x:v>
      </x:c>
      <x:c r="K444" s="8" t="n">
        <x:v>5</x:v>
      </x:c>
      <x:c r="L444" s="2"/>
      <x:c r="M444" s="2"/>
      <x:c r="N444" s="2"/>
    </x:row>
    <x:row r="445" ht="22" customHeight="1">
      <x:c r="A445" s="4" t="d">
        <x:v>2018-05-01T00:00:00.000Z</x:v>
      </x:c>
      <x:c r="B445" s="2" t="str">
        <x:v>PR</x:v>
      </x:c>
      <x:c r="C445" s="8" t="n">
        <x:v>311</x:v>
      </x:c>
      <x:c r="D445" s="8" t="n">
        <x:v>308</x:v>
      </x:c>
      <x:c r="E445" s="9" t="n">
        <x:v>46153.08</x:v>
      </x:c>
      <x:c r="F445" s="9" t="n">
        <x:v>7841.01</x:v>
      </x:c>
      <x:c r="G445" s="8" t="n">
        <x:v>308</x:v>
      </x:c>
      <x:c r="H445" s="8" t="n">
        <x:v>23</x:v>
      </x:c>
      <x:c r="I445" s="8" t="n">
        <x:v>3792.7394097222</x:v>
      </x:c>
      <x:c r="J445" s="8" t="n">
        <x:v>307</x:v>
      </x:c>
      <x:c r="K445" s="8" t="n">
        <x:v>31</x:v>
      </x:c>
      <x:c r="L445" s="2"/>
      <x:c r="M445" s="2"/>
      <x:c r="N445" s="2"/>
    </x:row>
    <x:row r="446" ht="22" customHeight="1">
      <x:c r="A446" s="4" t="d">
        <x:v>2018-05-01T00:00:00.000Z</x:v>
      </x:c>
      <x:c r="B446" s="2" t="str">
        <x:v>RJ</x:v>
      </x:c>
      <x:c r="C446" s="8" t="n">
        <x:v>833</x:v>
      </x:c>
      <x:c r="D446" s="8" t="n">
        <x:v>816</x:v>
      </x:c>
      <x:c r="E446" s="9" t="n">
        <x:v>124102.1</x:v>
      </x:c>
      <x:c r="F446" s="9" t="n">
        <x:v>19267.15</x:v>
      </x:c>
      <x:c r="G446" s="8" t="n">
        <x:v>816</x:v>
      </x:c>
      <x:c r="H446" s="8" t="n">
        <x:v>56</x:v>
      </x:c>
      <x:c r="I446" s="8" t="n">
        <x:v>10813.8862731481</x:v>
      </x:c>
      <x:c r="J446" s="8" t="n">
        <x:v>814</x:v>
      </x:c>
      <x:c r="K446" s="8" t="n">
        <x:v>116</x:v>
      </x:c>
      <x:c r="L446" s="2"/>
      <x:c r="M446" s="2"/>
      <x:c r="N446" s="2"/>
    </x:row>
    <x:row r="447" ht="22" customHeight="1">
      <x:c r="A447" s="4" t="d">
        <x:v>2018-05-01T00:00:00.000Z</x:v>
      </x:c>
      <x:c r="B447" s="2" t="str">
        <x:v>RN</x:v>
      </x:c>
      <x:c r="C447" s="8" t="n">
        <x:v>22</x:v>
      </x:c>
      <x:c r="D447" s="8" t="n">
        <x:v>22</x:v>
      </x:c>
      <x:c r="E447" s="9" t="n">
        <x:v>4233.02</x:v>
      </x:c>
      <x:c r="F447" s="9" t="n">
        <x:v>765.84</x:v>
      </x:c>
      <x:c r="G447" s="8" t="n">
        <x:v>22</x:v>
      </x:c>
      <x:c r="H447" s="8" t="n">
        <x:v>1</x:v>
      </x:c>
      <x:c r="I447" s="8" t="n">
        <x:v>386.0044328704</x:v>
      </x:c>
      <x:c r="J447" s="8" t="n">
        <x:v>22</x:v>
      </x:c>
      <x:c r="K447" s="8" t="n">
        <x:v>2</x:v>
      </x:c>
      <x:c r="L447" s="2"/>
      <x:c r="M447" s="2"/>
      <x:c r="N447" s="2"/>
    </x:row>
    <x:row r="448" ht="22" customHeight="1">
      <x:c r="A448" s="4" t="d">
        <x:v>2018-05-01T00:00:00.000Z</x:v>
      </x:c>
      <x:c r="B448" s="2" t="str">
        <x:v>RO</x:v>
      </x:c>
      <x:c r="C448" s="8" t="n">
        <x:v>17</x:v>
      </x:c>
      <x:c r="D448" s="8" t="n">
        <x:v>17</x:v>
      </x:c>
      <x:c r="E448" s="9" t="n">
        <x:v>2255.24</x:v>
      </x:c>
      <x:c r="F448" s="9" t="n">
        <x:v>902.27</x:v>
      </x:c>
      <x:c r="G448" s="8" t="n">
        <x:v>17</x:v>
      </x:c>
      <x:c r="H448" s="8" t="n">
        <x:v>0</x:v>
      </x:c>
      <x:c r="I448" s="8" t="n">
        <x:v>358.7532407407</x:v>
      </x:c>
      <x:c r="J448" s="8" t="n">
        <x:v>17</x:v>
      </x:c>
      <x:c r="K448" s="8" t="n">
        <x:v>2</x:v>
      </x:c>
      <x:c r="L448" s="2"/>
      <x:c r="M448" s="2"/>
      <x:c r="N448" s="2"/>
    </x:row>
    <x:row r="449" ht="22" customHeight="1">
      <x:c r="A449" s="4" t="d">
        <x:v>2018-05-01T00:00:00.000Z</x:v>
      </x:c>
      <x:c r="B449" s="2" t="str">
        <x:v>RR</x:v>
      </x:c>
      <x:c r="C449" s="8" t="n">
        <x:v>1</x:v>
      </x:c>
      <x:c r="D449" s="8" t="n">
        <x:v>1</x:v>
      </x:c>
      <x:c r="E449" s="9" t="n">
        <x:v>89.9</x:v>
      </x:c>
      <x:c r="F449" s="9" t="n">
        <x:v>81.79</x:v>
      </x:c>
      <x:c r="G449" s="8" t="n">
        <x:v>1</x:v>
      </x:c>
      <x:c r="H449" s="8" t="n">
        <x:v>0</x:v>
      </x:c>
      <x:c r="I449" s="8" t="n">
        <x:v>18.3615856481</x:v>
      </x:c>
      <x:c r="J449" s="8" t="n">
        <x:v>1</x:v>
      </x:c>
      <x:c r="K449" s="8" t="n">
        <x:v>0</x:v>
      </x:c>
      <x:c r="L449" s="2"/>
      <x:c r="M449" s="2"/>
      <x:c r="N449" s="2"/>
    </x:row>
    <x:row r="450" ht="22" customHeight="1">
      <x:c r="A450" s="4" t="d">
        <x:v>2018-05-01T00:00:00.000Z</x:v>
      </x:c>
      <x:c r="B450" s="2" t="str">
        <x:v>RS</x:v>
      </x:c>
      <x:c r="C450" s="8" t="n">
        <x:v>351</x:v>
      </x:c>
      <x:c r="D450" s="8" t="n">
        <x:v>350</x:v>
      </x:c>
      <x:c r="E450" s="9" t="n">
        <x:v>50501.55</x:v>
      </x:c>
      <x:c r="F450" s="9" t="n">
        <x:v>9231.92</x:v>
      </x:c>
      <x:c r="G450" s="8" t="n">
        <x:v>350</x:v>
      </x:c>
      <x:c r="H450" s="8" t="n">
        <x:v>10</x:v>
      </x:c>
      <x:c r="I450" s="8" t="n">
        <x:v>4703.9641087963</x:v>
      </x:c>
      <x:c r="J450" s="8" t="n">
        <x:v>349</x:v>
      </x:c>
      <x:c r="K450" s="8" t="n">
        <x:v>31</x:v>
      </x:c>
      <x:c r="L450" s="2"/>
      <x:c r="M450" s="2"/>
      <x:c r="N450" s="2"/>
    </x:row>
    <x:row r="451" ht="22" customHeight="1">
      <x:c r="A451" s="4" t="d">
        <x:v>2018-05-01T00:00:00.000Z</x:v>
      </x:c>
      <x:c r="B451" s="2" t="str">
        <x:v>SC</x:v>
      </x:c>
      <x:c r="C451" s="8" t="n">
        <x:v>227</x:v>
      </x:c>
      <x:c r="D451" s="8" t="n">
        <x:v>226</x:v>
      </x:c>
      <x:c r="E451" s="9" t="n">
        <x:v>35704</x:v>
      </x:c>
      <x:c r="F451" s="9" t="n">
        <x:v>6074.77</x:v>
      </x:c>
      <x:c r="G451" s="8" t="n">
        <x:v>226</x:v>
      </x:c>
      <x:c r="H451" s="8" t="n">
        <x:v>12</x:v>
      </x:c>
      <x:c r="I451" s="8" t="n">
        <x:v>3031.5074305556</x:v>
      </x:c>
      <x:c r="J451" s="8" t="n">
        <x:v>225</x:v>
      </x:c>
      <x:c r="K451" s="8" t="n">
        <x:v>22</x:v>
      </x:c>
      <x:c r="L451" s="2"/>
      <x:c r="M451" s="2"/>
      <x:c r="N451" s="2"/>
    </x:row>
    <x:row r="452" ht="22" customHeight="1">
      <x:c r="A452" s="4" t="d">
        <x:v>2018-05-01T00:00:00.000Z</x:v>
      </x:c>
      <x:c r="B452" s="2" t="str">
        <x:v>SE</x:v>
      </x:c>
      <x:c r="C452" s="8" t="n">
        <x:v>8</x:v>
      </x:c>
      <x:c r="D452" s="8" t="n">
        <x:v>8</x:v>
      </x:c>
      <x:c r="E452" s="9" t="n">
        <x:v>1083.18</x:v>
      </x:c>
      <x:c r="F452" s="9" t="n">
        <x:v>237.41</x:v>
      </x:c>
      <x:c r="G452" s="8" t="n">
        <x:v>8</x:v>
      </x:c>
      <x:c r="H452" s="8" t="n">
        <x:v>2</x:v>
      </x:c>
      <x:c r="I452" s="8" t="n">
        <x:v>157.6630787037</x:v>
      </x:c>
      <x:c r="J452" s="8" t="n">
        <x:v>8</x:v>
      </x:c>
      <x:c r="K452" s="8" t="n">
        <x:v>3</x:v>
      </x:c>
      <x:c r="L452" s="2"/>
      <x:c r="M452" s="2"/>
      <x:c r="N452" s="2"/>
    </x:row>
    <x:row r="453" ht="22" customHeight="1">
      <x:c r="A453" s="4" t="d">
        <x:v>2018-05-01T00:00:00.000Z</x:v>
      </x:c>
      <x:c r="B453" s="2" t="str">
        <x:v>SP</x:v>
      </x:c>
      <x:c r="C453" s="8" t="n">
        <x:v>3207</x:v>
      </x:c>
      <x:c r="D453" s="8" t="n">
        <x:v>3138</x:v>
      </x:c>
      <x:c r="E453" s="9" t="n">
        <x:v>424628.36</x:v>
      </x:c>
      <x:c r="F453" s="9" t="n">
        <x:v>53873.37</x:v>
      </x:c>
      <x:c r="G453" s="8" t="n">
        <x:v>3138</x:v>
      </x:c>
      <x:c r="H453" s="8" t="n">
        <x:v>136</x:v>
      </x:c>
      <x:c r="I453" s="8" t="n">
        <x:v>25225.9803240741</x:v>
      </x:c>
      <x:c r="J453" s="8" t="n">
        <x:v>3127</x:v>
      </x:c>
      <x:c r="K453" s="8" t="n">
        <x:v>280</x:v>
      </x:c>
      <x:c r="L453" s="2"/>
      <x:c r="M453" s="2"/>
      <x:c r="N453" s="2"/>
    </x:row>
    <x:row r="454" ht="22" customHeight="1">
      <x:c r="A454" s="4" t="d">
        <x:v>2018-05-01T00:00:00.000Z</x:v>
      </x:c>
      <x:c r="B454" s="2" t="str">
        <x:v>TO</x:v>
      </x:c>
      <x:c r="C454" s="8" t="n">
        <x:v>16</x:v>
      </x:c>
      <x:c r="D454" s="8" t="n">
        <x:v>16</x:v>
      </x:c>
      <x:c r="E454" s="9" t="n">
        <x:v>2739.99</x:v>
      </x:c>
      <x:c r="F454" s="9" t="n">
        <x:v>574.34</x:v>
      </x:c>
      <x:c r="G454" s="8" t="n">
        <x:v>16</x:v>
      </x:c>
      <x:c r="H454" s="8" t="n">
        <x:v>4</x:v>
      </x:c>
      <x:c r="I454" s="8" t="n">
        <x:v>305.8669675926</x:v>
      </x:c>
      <x:c r="J454" s="8" t="n">
        <x:v>16</x:v>
      </x:c>
      <x:c r="K454" s="8" t="n">
        <x:v>3</x:v>
      </x:c>
      <x:c r="L454" s="2"/>
      <x:c r="M454" s="2"/>
      <x:c r="N454" s="2"/>
    </x:row>
    <x:row r="455" ht="22" customHeight="1">
      <x:c r="A455" s="4" t="d">
        <x:v>2018-06-01T00:00:00.000Z</x:v>
      </x:c>
      <x:c r="B455" s="2" t="str">
        <x:v>AC</x:v>
      </x:c>
      <x:c r="C455" s="8" t="n">
        <x:v>3</x:v>
      </x:c>
      <x:c r="D455" s="8" t="n">
        <x:v>3</x:v>
      </x:c>
      <x:c r="E455" s="9" t="n">
        <x:v>427.9</x:v>
      </x:c>
      <x:c r="F455" s="9" t="n">
        <x:v>169.36</x:v>
      </x:c>
      <x:c r="G455" s="8" t="n">
        <x:v>3</x:v>
      </x:c>
      <x:c r="H455" s="8" t="n">
        <x:v>0</x:v>
      </x:c>
      <x:c r="I455" s="8" t="n">
        <x:v>34.3951736111</x:v>
      </x:c>
      <x:c r="J455" s="8" t="n">
        <x:v>3</x:v>
      </x:c>
      <x:c r="K455" s="8" t="n">
        <x:v>0</x:v>
      </x:c>
      <x:c r="L455" s="2"/>
      <x:c r="M455" s="2"/>
      <x:c r="N455" s="2"/>
    </x:row>
    <x:row r="456" ht="22" customHeight="1">
      <x:c r="A456" s="4" t="d">
        <x:v>2018-06-01T00:00:00.000Z</x:v>
      </x:c>
      <x:c r="B456" s="2" t="str">
        <x:v>AL</x:v>
      </x:c>
      <x:c r="C456" s="8" t="n">
        <x:v>24</x:v>
      </x:c>
      <x:c r="D456" s="8" t="n">
        <x:v>24</x:v>
      </x:c>
      <x:c r="E456" s="9" t="n">
        <x:v>3730.6</x:v>
      </x:c>
      <x:c r="F456" s="9" t="n">
        <x:v>1122.33</x:v>
      </x:c>
      <x:c r="G456" s="8" t="n">
        <x:v>24</x:v>
      </x:c>
      <x:c r="H456" s="8" t="n">
        <x:v>0</x:v>
      </x:c>
      <x:c r="I456" s="8" t="n">
        <x:v>492.2664814815</x:v>
      </x:c>
      <x:c r="J456" s="8" t="n">
        <x:v>24</x:v>
      </x:c>
      <x:c r="K456" s="8" t="n">
        <x:v>1</x:v>
      </x:c>
      <x:c r="L456" s="2"/>
      <x:c r="M456" s="2"/>
      <x:c r="N456" s="2"/>
    </x:row>
    <x:row r="457" ht="22" customHeight="1">
      <x:c r="A457" s="4" t="d">
        <x:v>2018-06-01T00:00:00.000Z</x:v>
      </x:c>
      <x:c r="B457" s="2" t="str">
        <x:v>AM</x:v>
      </x:c>
      <x:c r="C457" s="8" t="n">
        <x:v>7</x:v>
      </x:c>
      <x:c r="D457" s="8" t="n">
        <x:v>7</x:v>
      </x:c>
      <x:c r="E457" s="9" t="n">
        <x:v>924.72</x:v>
      </x:c>
      <x:c r="F457" s="9" t="n">
        <x:v>286.42</x:v>
      </x:c>
      <x:c r="G457" s="8" t="n">
        <x:v>7</x:v>
      </x:c>
      <x:c r="H457" s="8" t="n">
        <x:v>0</x:v>
      </x:c>
      <x:c r="I457" s="8" t="n">
        <x:v>129.730787037</x:v>
      </x:c>
      <x:c r="J457" s="8" t="n">
        <x:v>7</x:v>
      </x:c>
      <x:c r="K457" s="8" t="n">
        <x:v>1</x:v>
      </x:c>
      <x:c r="L457" s="2"/>
      <x:c r="M457" s="2"/>
      <x:c r="N457" s="2"/>
    </x:row>
    <x:row r="458" ht="22" customHeight="1">
      <x:c r="A458" s="4" t="d">
        <x:v>2018-06-01T00:00:00.000Z</x:v>
      </x:c>
      <x:c r="B458" s="2" t="str">
        <x:v>AP</x:v>
      </x:c>
      <x:c r="C458" s="8" t="n">
        <x:v>2</x:v>
      </x:c>
      <x:c r="D458" s="8" t="n">
        <x:v>2</x:v>
      </x:c>
      <x:c r="E458" s="9" t="n">
        <x:v>167.48</x:v>
      </x:c>
      <x:c r="F458" s="9" t="n">
        <x:v>80.44</x:v>
      </x:c>
      <x:c r="G458" s="8" t="n">
        <x:v>2</x:v>
      </x:c>
      <x:c r="H458" s="8" t="n">
        <x:v>0</x:v>
      </x:c>
      <x:c r="I458" s="8" t="n">
        <x:v>34.3868171296</x:v>
      </x:c>
      <x:c r="J458" s="8" t="n">
        <x:v>2</x:v>
      </x:c>
      <x:c r="K458" s="8" t="n">
        <x:v>0</x:v>
      </x:c>
      <x:c r="L458" s="2"/>
      <x:c r="M458" s="2"/>
      <x:c r="N458" s="2"/>
    </x:row>
    <x:row r="459" ht="22" customHeight="1">
      <x:c r="A459" s="4" t="d">
        <x:v>2018-06-01T00:00:00.000Z</x:v>
      </x:c>
      <x:c r="B459" s="2" t="str">
        <x:v>BA</x:v>
      </x:c>
      <x:c r="C459" s="8" t="n">
        <x:v>201</x:v>
      </x:c>
      <x:c r="D459" s="8" t="n">
        <x:v>198</x:v>
      </x:c>
      <x:c r="E459" s="9" t="n">
        <x:v>34709.58</x:v>
      </x:c>
      <x:c r="F459" s="9" t="n">
        <x:v>7212.55</x:v>
      </x:c>
      <x:c r="G459" s="8" t="n">
        <x:v>198</x:v>
      </x:c>
      <x:c r="H459" s="8" t="n">
        <x:v>11</x:v>
      </x:c>
      <x:c r="I459" s="8" t="n">
        <x:v>3579.5895833333</x:v>
      </x:c>
      <x:c r="J459" s="8" t="n">
        <x:v>197</x:v>
      </x:c>
      <x:c r="K459" s="8" t="n">
        <x:v>24</x:v>
      </x:c>
      <x:c r="L459" s="2"/>
      <x:c r="M459" s="2"/>
      <x:c r="N459" s="2"/>
    </x:row>
    <x:row r="460" ht="22" customHeight="1">
      <x:c r="A460" s="4" t="d">
        <x:v>2018-06-01T00:00:00.000Z</x:v>
      </x:c>
      <x:c r="B460" s="2" t="str">
        <x:v>CE</x:v>
      </x:c>
      <x:c r="C460" s="8" t="n">
        <x:v>74</x:v>
      </x:c>
      <x:c r="D460" s="8" t="n">
        <x:v>72</x:v>
      </x:c>
      <x:c r="E460" s="9" t="n">
        <x:v>16240.42</x:v>
      </x:c>
      <x:c r="F460" s="9" t="n">
        <x:v>3486.05</x:v>
      </x:c>
      <x:c r="G460" s="8" t="n">
        <x:v>72</x:v>
      </x:c>
      <x:c r="H460" s="8" t="n">
        <x:v>0</x:v>
      </x:c>
      <x:c r="I460" s="8" t="n">
        <x:v>1099.0551273148</x:v>
      </x:c>
      <x:c r="J460" s="8" t="n">
        <x:v>72</x:v>
      </x:c>
      <x:c r="K460" s="8" t="n">
        <x:v>6</x:v>
      </x:c>
      <x:c r="L460" s="2"/>
      <x:c r="M460" s="2"/>
      <x:c r="N460" s="2"/>
    </x:row>
    <x:row r="461" ht="22" customHeight="1">
      <x:c r="A461" s="4" t="d">
        <x:v>2018-06-01T00:00:00.000Z</x:v>
      </x:c>
      <x:c r="B461" s="2" t="str">
        <x:v>DF</x:v>
      </x:c>
      <x:c r="C461" s="8" t="n">
        <x:v>150</x:v>
      </x:c>
      <x:c r="D461" s="8" t="n">
        <x:v>147</x:v>
      </x:c>
      <x:c r="E461" s="9" t="n">
        <x:v>19246.82</x:v>
      </x:c>
      <x:c r="F461" s="9" t="n">
        <x:v>3629.15</x:v>
      </x:c>
      <x:c r="G461" s="8" t="n">
        <x:v>147</x:v>
      </x:c>
      <x:c r="H461" s="8" t="n">
        <x:v>1</x:v>
      </x:c>
      <x:c r="I461" s="8" t="n">
        <x:v>1343.2091319444</x:v>
      </x:c>
      <x:c r="J461" s="8" t="n">
        <x:v>146</x:v>
      </x:c>
      <x:c r="K461" s="8" t="n">
        <x:v>14</x:v>
      </x:c>
      <x:c r="L461" s="2"/>
      <x:c r="M461" s="2"/>
      <x:c r="N461" s="2"/>
    </x:row>
    <x:row r="462" ht="22" customHeight="1">
      <x:c r="A462" s="4" t="d">
        <x:v>2018-06-01T00:00:00.000Z</x:v>
      </x:c>
      <x:c r="B462" s="2" t="str">
        <x:v>ES</x:v>
      </x:c>
      <x:c r="C462" s="8" t="n">
        <x:v>124</x:v>
      </x:c>
      <x:c r="D462" s="8" t="n">
        <x:v>123</x:v>
      </x:c>
      <x:c r="E462" s="9" t="n">
        <x:v>17102.96</x:v>
      </x:c>
      <x:c r="F462" s="9" t="n">
        <x:v>3544.12</x:v>
      </x:c>
      <x:c r="G462" s="8" t="n">
        <x:v>123</x:v>
      </x:c>
      <x:c r="H462" s="8" t="n">
        <x:v>5</x:v>
      </x:c>
      <x:c r="I462" s="8" t="n">
        <x:v>1686.1807638889</x:v>
      </x:c>
      <x:c r="J462" s="8" t="n">
        <x:v>123</x:v>
      </x:c>
      <x:c r="K462" s="8" t="n">
        <x:v>15</x:v>
      </x:c>
      <x:c r="L462" s="2"/>
      <x:c r="M462" s="2"/>
      <x:c r="N462" s="2"/>
    </x:row>
    <x:row r="463" ht="22" customHeight="1">
      <x:c r="A463" s="4" t="d">
        <x:v>2018-06-01T00:00:00.000Z</x:v>
      </x:c>
      <x:c r="B463" s="2" t="str">
        <x:v>GO</x:v>
      </x:c>
      <x:c r="C463" s="8" t="n">
        <x:v>105</x:v>
      </x:c>
      <x:c r="D463" s="8" t="n">
        <x:v>105</x:v>
      </x:c>
      <x:c r="E463" s="9" t="n">
        <x:v>14358.06</x:v>
      </x:c>
      <x:c r="F463" s="9" t="n">
        <x:v>3023.25</x:v>
      </x:c>
      <x:c r="G463" s="8" t="n">
        <x:v>105</x:v>
      </x:c>
      <x:c r="H463" s="8" t="n">
        <x:v>1</x:v>
      </x:c>
      <x:c r="I463" s="8" t="n">
        <x:v>1256.0512731481</x:v>
      </x:c>
      <x:c r="J463" s="8" t="n">
        <x:v>105</x:v>
      </x:c>
      <x:c r="K463" s="8" t="n">
        <x:v>10</x:v>
      </x:c>
      <x:c r="L463" s="2"/>
      <x:c r="M463" s="2"/>
      <x:c r="N463" s="2"/>
    </x:row>
    <x:row r="464" ht="22" customHeight="1">
      <x:c r="A464" s="4" t="d">
        <x:v>2018-06-01T00:00:00.000Z</x:v>
      </x:c>
      <x:c r="B464" s="2" t="str">
        <x:v>MA</x:v>
      </x:c>
      <x:c r="C464" s="8" t="n">
        <x:v>42</x:v>
      </x:c>
      <x:c r="D464" s="8" t="n">
        <x:v>41</x:v>
      </x:c>
      <x:c r="E464" s="9" t="n">
        <x:v>5909.48</x:v>
      </x:c>
      <x:c r="F464" s="9" t="n">
        <x:v>1935.89</x:v>
      </x:c>
      <x:c r="G464" s="8" t="n">
        <x:v>41</x:v>
      </x:c>
      <x:c r="H464" s="8" t="n">
        <x:v>5</x:v>
      </x:c>
      <x:c r="I464" s="8" t="n">
        <x:v>820.0385763889</x:v>
      </x:c>
      <x:c r="J464" s="8" t="n">
        <x:v>41</x:v>
      </x:c>
      <x:c r="K464" s="8" t="n">
        <x:v>5</x:v>
      </x:c>
      <x:c r="L464" s="2"/>
      <x:c r="M464" s="2"/>
      <x:c r="N464" s="2"/>
    </x:row>
    <x:row r="465" ht="22" customHeight="1">
      <x:c r="A465" s="4" t="d">
        <x:v>2018-06-01T00:00:00.000Z</x:v>
      </x:c>
      <x:c r="B465" s="2" t="str">
        <x:v>MG</x:v>
      </x:c>
      <x:c r="C465" s="8" t="n">
        <x:v>717</x:v>
      </x:c>
      <x:c r="D465" s="8" t="n">
        <x:v>714</x:v>
      </x:c>
      <x:c r="E465" s="9" t="n">
        <x:v>105757.72</x:v>
      </x:c>
      <x:c r="F465" s="9" t="n">
        <x:v>19601.25</x:v>
      </x:c>
      <x:c r="G465" s="8" t="n">
        <x:v>714</x:v>
      </x:c>
      <x:c r="H465" s="8" t="n">
        <x:v>1</x:v>
      </x:c>
      <x:c r="I465" s="8" t="n">
        <x:v>6101.1078009259</x:v>
      </x:c>
      <x:c r="J465" s="8" t="n">
        <x:v>708</x:v>
      </x:c>
      <x:c r="K465" s="8" t="n">
        <x:v>65</x:v>
      </x:c>
      <x:c r="L465" s="2"/>
      <x:c r="M465" s="2"/>
      <x:c r="N465" s="2"/>
    </x:row>
    <x:row r="466" ht="22" customHeight="1">
      <x:c r="A466" s="4" t="d">
        <x:v>2018-06-01T00:00:00.000Z</x:v>
      </x:c>
      <x:c r="B466" s="2" t="str">
        <x:v>MS</x:v>
      </x:c>
      <x:c r="C466" s="8" t="n">
        <x:v>49</x:v>
      </x:c>
      <x:c r="D466" s="8" t="n">
        <x:v>49</x:v>
      </x:c>
      <x:c r="E466" s="9" t="n">
        <x:v>8887.25</x:v>
      </x:c>
      <x:c r="F466" s="9" t="n">
        <x:v>1878.5</x:v>
      </x:c>
      <x:c r="G466" s="8" t="n">
        <x:v>49</x:v>
      </x:c>
      <x:c r="H466" s="8" t="n">
        <x:v>1</x:v>
      </x:c>
      <x:c r="I466" s="8" t="n">
        <x:v>590.1594444444</x:v>
      </x:c>
      <x:c r="J466" s="8" t="n">
        <x:v>48</x:v>
      </x:c>
      <x:c r="K466" s="8" t="n">
        <x:v>4</x:v>
      </x:c>
      <x:c r="L466" s="2"/>
      <x:c r="M466" s="2"/>
      <x:c r="N466" s="2"/>
    </x:row>
    <x:row r="467" ht="22" customHeight="1">
      <x:c r="A467" s="4" t="d">
        <x:v>2018-06-01T00:00:00.000Z</x:v>
      </x:c>
      <x:c r="B467" s="2" t="str">
        <x:v>MT</x:v>
      </x:c>
      <x:c r="C467" s="8" t="n">
        <x:v>58</x:v>
      </x:c>
      <x:c r="D467" s="8" t="n">
        <x:v>58</x:v>
      </x:c>
      <x:c r="E467" s="9" t="n">
        <x:v>10335.29</x:v>
      </x:c>
      <x:c r="F467" s="9" t="n">
        <x:v>2673.26</x:v>
      </x:c>
      <x:c r="G467" s="8" t="n">
        <x:v>58</x:v>
      </x:c>
      <x:c r="H467" s="8" t="n">
        <x:v>1</x:v>
      </x:c>
      <x:c r="I467" s="8" t="n">
        <x:v>854.2356134259</x:v>
      </x:c>
      <x:c r="J467" s="8" t="n">
        <x:v>57</x:v>
      </x:c>
      <x:c r="K467" s="8" t="n">
        <x:v>6</x:v>
      </x:c>
      <x:c r="L467" s="2"/>
      <x:c r="M467" s="2"/>
      <x:c r="N467" s="2"/>
    </x:row>
    <x:row r="468" ht="22" customHeight="1">
      <x:c r="A468" s="4" t="d">
        <x:v>2018-06-01T00:00:00.000Z</x:v>
      </x:c>
      <x:c r="B468" s="2" t="str">
        <x:v>PA</x:v>
      </x:c>
      <x:c r="C468" s="8" t="n">
        <x:v>54</x:v>
      </x:c>
      <x:c r="D468" s="8" t="n">
        <x:v>54</x:v>
      </x:c>
      <x:c r="E468" s="9" t="n">
        <x:v>9358.21</x:v>
      </x:c>
      <x:c r="F468" s="9" t="n">
        <x:v>2592.34</x:v>
      </x:c>
      <x:c r="G468" s="8" t="n">
        <x:v>54</x:v>
      </x:c>
      <x:c r="H468" s="8" t="n">
        <x:v>0</x:v>
      </x:c>
      <x:c r="I468" s="8" t="n">
        <x:v>963.7285763889</x:v>
      </x:c>
      <x:c r="J468" s="8" t="n">
        <x:v>54</x:v>
      </x:c>
      <x:c r="K468" s="8" t="n">
        <x:v>3</x:v>
      </x:c>
      <x:c r="L468" s="2"/>
      <x:c r="M468" s="2"/>
      <x:c r="N468" s="2"/>
    </x:row>
    <x:row r="469" ht="22" customHeight="1">
      <x:c r="A469" s="4" t="d">
        <x:v>2018-06-01T00:00:00.000Z</x:v>
      </x:c>
      <x:c r="B469" s="2" t="str">
        <x:v>PB</x:v>
      </x:c>
      <x:c r="C469" s="8" t="n">
        <x:v>28</x:v>
      </x:c>
      <x:c r="D469" s="8" t="n">
        <x:v>28</x:v>
      </x:c>
      <x:c r="E469" s="9" t="n">
        <x:v>12993.83</x:v>
      </x:c>
      <x:c r="F469" s="9" t="n">
        <x:v>1227.3</x:v>
      </x:c>
      <x:c r="G469" s="8" t="n">
        <x:v>28</x:v>
      </x:c>
      <x:c r="H469" s="8" t="n">
        <x:v>1</x:v>
      </x:c>
      <x:c r="I469" s="8" t="n">
        <x:v>446.9789814815</x:v>
      </x:c>
      <x:c r="J469" s="8" t="n">
        <x:v>28</x:v>
      </x:c>
      <x:c r="K469" s="8" t="n">
        <x:v>4</x:v>
      </x:c>
      <x:c r="L469" s="2"/>
      <x:c r="M469" s="2"/>
      <x:c r="N469" s="2"/>
    </x:row>
    <x:row r="470" ht="22" customHeight="1">
      <x:c r="A470" s="4" t="d">
        <x:v>2018-06-01T00:00:00.000Z</x:v>
      </x:c>
      <x:c r="B470" s="2" t="str">
        <x:v>PE</x:v>
      </x:c>
      <x:c r="C470" s="8" t="n">
        <x:v>94</x:v>
      </x:c>
      <x:c r="D470" s="8" t="n">
        <x:v>91</x:v>
      </x:c>
      <x:c r="E470" s="9" t="n">
        <x:v>14231.94</x:v>
      </x:c>
      <x:c r="F470" s="9" t="n">
        <x:v>3589.44</x:v>
      </x:c>
      <x:c r="G470" s="8" t="n">
        <x:v>91</x:v>
      </x:c>
      <x:c r="H470" s="8" t="n">
        <x:v>2</x:v>
      </x:c>
      <x:c r="I470" s="8" t="n">
        <x:v>1138.0087268519</x:v>
      </x:c>
      <x:c r="J470" s="8" t="n">
        <x:v>91</x:v>
      </x:c>
      <x:c r="K470" s="8" t="n">
        <x:v>5</x:v>
      </x:c>
      <x:c r="L470" s="2"/>
      <x:c r="M470" s="2"/>
      <x:c r="N470" s="2"/>
    </x:row>
    <x:row r="471" ht="22" customHeight="1">
      <x:c r="A471" s="4" t="d">
        <x:v>2018-06-01T00:00:00.000Z</x:v>
      </x:c>
      <x:c r="B471" s="2" t="str">
        <x:v>PI</x:v>
      </x:c>
      <x:c r="C471" s="8" t="n">
        <x:v>29</x:v>
      </x:c>
      <x:c r="D471" s="8" t="n">
        <x:v>29</x:v>
      </x:c>
      <x:c r="E471" s="9" t="n">
        <x:v>4845.7</x:v>
      </x:c>
      <x:c r="F471" s="9" t="n">
        <x:v>1154.26</x:v>
      </x:c>
      <x:c r="G471" s="8" t="n">
        <x:v>29</x:v>
      </x:c>
      <x:c r="H471" s="8" t="n">
        <x:v>9</x:v>
      </x:c>
      <x:c r="I471" s="8" t="n">
        <x:v>664.4640972222</x:v>
      </x:c>
      <x:c r="J471" s="8" t="n">
        <x:v>29</x:v>
      </x:c>
      <x:c r="K471" s="8" t="n">
        <x:v>6</x:v>
      </x:c>
      <x:c r="L471" s="2"/>
      <x:c r="M471" s="2"/>
      <x:c r="N471" s="2"/>
    </x:row>
    <x:row r="472" ht="22" customHeight="1">
      <x:c r="A472" s="4" t="d">
        <x:v>2018-06-01T00:00:00.000Z</x:v>
      </x:c>
      <x:c r="B472" s="2" t="str">
        <x:v>PR</x:v>
      </x:c>
      <x:c r="C472" s="8" t="n">
        <x:v>308</x:v>
      </x:c>
      <x:c r="D472" s="8" t="n">
        <x:v>306</x:v>
      </x:c>
      <x:c r="E472" s="9" t="n">
        <x:v>42211.86</x:v>
      </x:c>
      <x:c r="F472" s="9" t="n">
        <x:v>8036.2</x:v>
      </x:c>
      <x:c r="G472" s="8" t="n">
        <x:v>306</x:v>
      </x:c>
      <x:c r="H472" s="8" t="n">
        <x:v>0</x:v>
      </x:c>
      <x:c r="I472" s="8" t="n">
        <x:v>2704.2911226852</x:v>
      </x:c>
      <x:c r="J472" s="8" t="n">
        <x:v>304</x:v>
      </x:c>
      <x:c r="K472" s="8" t="n">
        <x:v>39</x:v>
      </x:c>
      <x:c r="L472" s="2"/>
      <x:c r="M472" s="2"/>
      <x:c r="N472" s="2"/>
    </x:row>
    <x:row r="473" ht="22" customHeight="1">
      <x:c r="A473" s="4" t="d">
        <x:v>2018-06-01T00:00:00.000Z</x:v>
      </x:c>
      <x:c r="B473" s="2" t="str">
        <x:v>RJ</x:v>
      </x:c>
      <x:c r="C473" s="8" t="n">
        <x:v>716</x:v>
      </x:c>
      <x:c r="D473" s="8" t="n">
        <x:v>707</x:v>
      </x:c>
      <x:c r="E473" s="9" t="n">
        <x:v>100123.89</x:v>
      </x:c>
      <x:c r="F473" s="9" t="n">
        <x:v>19118.91</x:v>
      </x:c>
      <x:c r="G473" s="8" t="n">
        <x:v>707</x:v>
      </x:c>
      <x:c r="H473" s="8" t="n">
        <x:v>9</x:v>
      </x:c>
      <x:c r="I473" s="8" t="n">
        <x:v>7464.2783101852</x:v>
      </x:c>
      <x:c r="J473" s="8" t="n">
        <x:v>702</x:v>
      </x:c>
      <x:c r="K473" s="8" t="n">
        <x:v>79</x:v>
      </x:c>
      <x:c r="L473" s="2"/>
      <x:c r="M473" s="2"/>
      <x:c r="N473" s="2"/>
    </x:row>
    <x:row r="474" ht="22" customHeight="1">
      <x:c r="A474" s="4" t="d">
        <x:v>2018-06-01T00:00:00.000Z</x:v>
      </x:c>
      <x:c r="B474" s="2" t="str">
        <x:v>RN</x:v>
      </x:c>
      <x:c r="C474" s="8" t="n">
        <x:v>36</x:v>
      </x:c>
      <x:c r="D474" s="8" t="n">
        <x:v>35</x:v>
      </x:c>
      <x:c r="E474" s="9" t="n">
        <x:v>6493.46</x:v>
      </x:c>
      <x:c r="F474" s="9" t="n">
        <x:v>1902.54</x:v>
      </x:c>
      <x:c r="G474" s="8" t="n">
        <x:v>35</x:v>
      </x:c>
      <x:c r="H474" s="8" t="n">
        <x:v>0</x:v>
      </x:c>
      <x:c r="I474" s="8" t="n">
        <x:v>482.3952430556</x:v>
      </x:c>
      <x:c r="J474" s="8" t="n">
        <x:v>35</x:v>
      </x:c>
      <x:c r="K474" s="8" t="n">
        <x:v>4</x:v>
      </x:c>
      <x:c r="L474" s="2"/>
      <x:c r="M474" s="2"/>
      <x:c r="N474" s="2"/>
    </x:row>
    <x:row r="475" ht="22" customHeight="1">
      <x:c r="A475" s="4" t="d">
        <x:v>2018-06-01T00:00:00.000Z</x:v>
      </x:c>
      <x:c r="B475" s="2" t="str">
        <x:v>RO</x:v>
      </x:c>
      <x:c r="C475" s="8" t="n">
        <x:v>12</x:v>
      </x:c>
      <x:c r="D475" s="8" t="n">
        <x:v>11</x:v>
      </x:c>
      <x:c r="E475" s="9" t="n">
        <x:v>1921.57</x:v>
      </x:c>
      <x:c r="F475" s="9" t="n">
        <x:v>497.4</x:v>
      </x:c>
      <x:c r="G475" s="8" t="n">
        <x:v>11</x:v>
      </x:c>
      <x:c r="H475" s="8" t="n">
        <x:v>0</x:v>
      </x:c>
      <x:c r="I475" s="8" t="n">
        <x:v>173.3023842593</x:v>
      </x:c>
      <x:c r="J475" s="8" t="n">
        <x:v>11</x:v>
      </x:c>
      <x:c r="K475" s="8" t="n">
        <x:v>1</x:v>
      </x:c>
      <x:c r="L475" s="2"/>
      <x:c r="M475" s="2"/>
      <x:c r="N475" s="2"/>
    </x:row>
    <x:row r="476" ht="22" customHeight="1">
      <x:c r="A476" s="4" t="d">
        <x:v>2018-06-01T00:00:00.000Z</x:v>
      </x:c>
      <x:c r="B476" s="2" t="str">
        <x:v>RR</x:v>
      </x:c>
      <x:c r="C476" s="8" t="n">
        <x:v>5</x:v>
      </x:c>
      <x:c r="D476" s="8" t="n">
        <x:v>5</x:v>
      </x:c>
      <x:c r="E476" s="9" t="n">
        <x:v>1331.99</x:v>
      </x:c>
      <x:c r="F476" s="9" t="n">
        <x:v>310.42</x:v>
      </x:c>
      <x:c r="G476" s="8" t="n">
        <x:v>5</x:v>
      </x:c>
      <x:c r="H476" s="8" t="n">
        <x:v>0</x:v>
      </x:c>
      <x:c r="I476" s="8" t="n">
        <x:v>91.6910532407</x:v>
      </x:c>
      <x:c r="J476" s="8" t="n">
        <x:v>5</x:v>
      </x:c>
      <x:c r="K476" s="8" t="n">
        <x:v>1</x:v>
      </x:c>
      <x:c r="L476" s="2"/>
      <x:c r="M476" s="2"/>
      <x:c r="N476" s="2"/>
    </x:row>
    <x:row r="477" ht="22" customHeight="1">
      <x:c r="A477" s="4" t="d">
        <x:v>2018-06-01T00:00:00.000Z</x:v>
      </x:c>
      <x:c r="B477" s="2" t="str">
        <x:v>RS</x:v>
      </x:c>
      <x:c r="C477" s="8" t="n">
        <x:v>305</x:v>
      </x:c>
      <x:c r="D477" s="8" t="n">
        <x:v>304</x:v>
      </x:c>
      <x:c r="E477" s="9" t="n">
        <x:v>44093.83</x:v>
      </x:c>
      <x:c r="F477" s="9" t="n">
        <x:v>8986.85</x:v>
      </x:c>
      <x:c r="G477" s="8" t="n">
        <x:v>304</x:v>
      </x:c>
      <x:c r="H477" s="8" t="n">
        <x:v>4</x:v>
      </x:c>
      <x:c r="I477" s="8" t="n">
        <x:v>3664.1384953704</x:v>
      </x:c>
      <x:c r="J477" s="8" t="n">
        <x:v>303</x:v>
      </x:c>
      <x:c r="K477" s="8" t="n">
        <x:v>23</x:v>
      </x:c>
      <x:c r="L477" s="2"/>
      <x:c r="M477" s="2"/>
      <x:c r="N477" s="2"/>
    </x:row>
    <x:row r="478" ht="22" customHeight="1">
      <x:c r="A478" s="4" t="d">
        <x:v>2018-06-01T00:00:00.000Z</x:v>
      </x:c>
      <x:c r="B478" s="2" t="str">
        <x:v>SC</x:v>
      </x:c>
      <x:c r="C478" s="8" t="n">
        <x:v>205</x:v>
      </x:c>
      <x:c r="D478" s="8" t="n">
        <x:v>205</x:v>
      </x:c>
      <x:c r="E478" s="9" t="n">
        <x:v>32740.72</x:v>
      </x:c>
      <x:c r="F478" s="9" t="n">
        <x:v>6314.55</x:v>
      </x:c>
      <x:c r="G478" s="8" t="n">
        <x:v>205</x:v>
      </x:c>
      <x:c r="H478" s="8" t="n">
        <x:v>0</x:v>
      </x:c>
      <x:c r="I478" s="8" t="n">
        <x:v>2054.4905324074</x:v>
      </x:c>
      <x:c r="J478" s="8" t="n">
        <x:v>205</x:v>
      </x:c>
      <x:c r="K478" s="8" t="n">
        <x:v>23</x:v>
      </x:c>
      <x:c r="L478" s="2"/>
      <x:c r="M478" s="2"/>
      <x:c r="N478" s="2"/>
    </x:row>
    <x:row r="479" ht="22" customHeight="1">
      <x:c r="A479" s="4" t="d">
        <x:v>2018-06-01T00:00:00.000Z</x:v>
      </x:c>
      <x:c r="B479" s="2" t="str">
        <x:v>SE</x:v>
      </x:c>
      <x:c r="C479" s="8" t="n">
        <x:v>28</x:v>
      </x:c>
      <x:c r="D479" s="8" t="n">
        <x:v>25</x:v>
      </x:c>
      <x:c r="E479" s="9" t="n">
        <x:v>3286.22</x:v>
      </x:c>
      <x:c r="F479" s="9" t="n">
        <x:v>1127.29</x:v>
      </x:c>
      <x:c r="G479" s="8" t="n">
        <x:v>25</x:v>
      </x:c>
      <x:c r="H479" s="8" t="n">
        <x:v>0</x:v>
      </x:c>
      <x:c r="I479" s="8" t="n">
        <x:v>368.9030671296</x:v>
      </x:c>
      <x:c r="J479" s="8" t="n">
        <x:v>25</x:v>
      </x:c>
      <x:c r="K479" s="8" t="n">
        <x:v>1</x:v>
      </x:c>
      <x:c r="L479" s="2"/>
      <x:c r="M479" s="2"/>
      <x:c r="N479" s="2"/>
    </x:row>
    <x:row r="480" ht="22" customHeight="1">
      <x:c r="A480" s="4" t="d">
        <x:v>2018-06-01T00:00:00.000Z</x:v>
      </x:c>
      <x:c r="B480" s="2" t="str">
        <x:v>SP</x:v>
      </x:c>
      <x:c r="C480" s="8" t="n">
        <x:v>2773</x:v>
      </x:c>
      <x:c r="D480" s="8" t="n">
        <x:v>2738</x:v>
      </x:c>
      <x:c r="E480" s="9" t="n">
        <x:v>340596.94</x:v>
      </x:c>
      <x:c r="F480" s="9" t="n">
        <x:v>51462.75</x:v>
      </x:c>
      <x:c r="G480" s="8" t="n">
        <x:v>2735</x:v>
      </x:c>
      <x:c r="H480" s="8" t="n">
        <x:v>20</x:v>
      </x:c>
      <x:c r="I480" s="8" t="n">
        <x:v>17830.1638541667</x:v>
      </x:c>
      <x:c r="J480" s="8" t="n">
        <x:v>2732</x:v>
      </x:c>
      <x:c r="K480" s="8" t="n">
        <x:v>266</x:v>
      </x:c>
      <x:c r="L480" s="2"/>
      <x:c r="M480" s="2"/>
      <x:c r="N480" s="2"/>
    </x:row>
    <x:row r="481" ht="22" customHeight="1">
      <x:c r="A481" s="4" t="d">
        <x:v>2018-06-01T00:00:00.000Z</x:v>
      </x:c>
      <x:c r="B481" s="2" t="str">
        <x:v>TO</x:v>
      </x:c>
      <x:c r="C481" s="8" t="n">
        <x:v>18</x:v>
      </x:c>
      <x:c r="D481" s="8" t="n">
        <x:v>18</x:v>
      </x:c>
      <x:c r="E481" s="9" t="n">
        <x:v>4049.42</x:v>
      </x:c>
      <x:c r="F481" s="9" t="n">
        <x:v>937.61</x:v>
      </x:c>
      <x:c r="G481" s="8" t="n">
        <x:v>18</x:v>
      </x:c>
      <x:c r="H481" s="8" t="n">
        <x:v>0</x:v>
      </x:c>
      <x:c r="I481" s="8" t="n">
        <x:v>255.0215046296</x:v>
      </x:c>
      <x:c r="J481" s="8" t="n">
        <x:v>18</x:v>
      </x:c>
      <x:c r="K481" s="8" t="n">
        <x:v>1</x:v>
      </x:c>
      <x:c r="L481" s="2"/>
      <x:c r="M481" s="2"/>
      <x:c r="N481" s="2"/>
    </x:row>
    <x:row r="482" ht="22" customHeight="1">
      <x:c r="A482" s="4" t="d">
        <x:v>2018-07-01T00:00:00.000Z</x:v>
      </x:c>
      <x:c r="B482" s="2" t="str">
        <x:v>AC</x:v>
      </x:c>
      <x:c r="C482" s="8" t="n">
        <x:v>4</x:v>
      </x:c>
      <x:c r="D482" s="8" t="n">
        <x:v>4</x:v>
      </x:c>
      <x:c r="E482" s="9" t="n">
        <x:v>1469.97</x:v>
      </x:c>
      <x:c r="F482" s="9" t="n">
        <x:v>299.98</x:v>
      </x:c>
      <x:c r="G482" s="8" t="n">
        <x:v>4</x:v>
      </x:c>
      <x:c r="H482" s="8" t="n">
        <x:v>0</x:v>
      </x:c>
      <x:c r="I482" s="8" t="n">
        <x:v>55.4191898148</x:v>
      </x:c>
      <x:c r="J482" s="8" t="n">
        <x:v>4</x:v>
      </x:c>
      <x:c r="K482" s="8" t="n">
        <x:v>0</x:v>
      </x:c>
      <x:c r="L482" s="2"/>
      <x:c r="M482" s="2"/>
      <x:c r="N482" s="2"/>
    </x:row>
    <x:row r="483" ht="22" customHeight="1">
      <x:c r="A483" s="4" t="d">
        <x:v>2018-07-01T00:00:00.000Z</x:v>
      </x:c>
      <x:c r="B483" s="2" t="str">
        <x:v>AL</x:v>
      </x:c>
      <x:c r="C483" s="8" t="n">
        <x:v>23</x:v>
      </x:c>
      <x:c r="D483" s="8" t="n">
        <x:v>22</x:v>
      </x:c>
      <x:c r="E483" s="9" t="n">
        <x:v>3856.33</x:v>
      </x:c>
      <x:c r="F483" s="9" t="n">
        <x:v>836.25</x:v>
      </x:c>
      <x:c r="G483" s="8" t="n">
        <x:v>22</x:v>
      </x:c>
      <x:c r="H483" s="8" t="n">
        <x:v>4</x:v>
      </x:c>
      <x:c r="I483" s="8" t="n">
        <x:v>513.1750347222</x:v>
      </x:c>
      <x:c r="J483" s="8" t="n">
        <x:v>22</x:v>
      </x:c>
      <x:c r="K483" s="8" t="n">
        <x:v>3</x:v>
      </x:c>
      <x:c r="L483" s="2"/>
      <x:c r="M483" s="2"/>
      <x:c r="N483" s="2"/>
    </x:row>
    <x:row r="484" ht="22" customHeight="1">
      <x:c r="A484" s="4" t="d">
        <x:v>2018-07-01T00:00:00.000Z</x:v>
      </x:c>
      <x:c r="B484" s="2" t="str">
        <x:v>AM</x:v>
      </x:c>
      <x:c r="C484" s="8" t="n">
        <x:v>18</x:v>
      </x:c>
      <x:c r="D484" s="8" t="n">
        <x:v>18</x:v>
      </x:c>
      <x:c r="E484" s="9" t="n">
        <x:v>2004.91</x:v>
      </x:c>
      <x:c r="F484" s="9" t="n">
        <x:v>593.5</x:v>
      </x:c>
      <x:c r="G484" s="8" t="n">
        <x:v>18</x:v>
      </x:c>
      <x:c r="H484" s="8" t="n">
        <x:v>0</x:v>
      </x:c>
      <x:c r="I484" s="8" t="n">
        <x:v>400.9197106481</x:v>
      </x:c>
      <x:c r="J484" s="8" t="n">
        <x:v>18</x:v>
      </x:c>
      <x:c r="K484" s="8" t="n">
        <x:v>4</x:v>
      </x:c>
      <x:c r="L484" s="2"/>
      <x:c r="M484" s="2"/>
      <x:c r="N484" s="2"/>
    </x:row>
    <x:row r="485" ht="22" customHeight="1">
      <x:c r="A485" s="4" t="d">
        <x:v>2018-07-01T00:00:00.000Z</x:v>
      </x:c>
      <x:c r="B485" s="2" t="str">
        <x:v>AP</x:v>
      </x:c>
      <x:c r="C485" s="8" t="n">
        <x:v>6</x:v>
      </x:c>
      <x:c r="D485" s="8" t="n">
        <x:v>6</x:v>
      </x:c>
      <x:c r="E485" s="9" t="n">
        <x:v>1350.84</x:v>
      </x:c>
      <x:c r="F485" s="9" t="n">
        <x:v>262.79</x:v>
      </x:c>
      <x:c r="G485" s="8" t="n">
        <x:v>6</x:v>
      </x:c>
      <x:c r="H485" s="8" t="n">
        <x:v>0</x:v>
      </x:c>
      <x:c r="I485" s="8" t="n">
        <x:v>186.2946296296</x:v>
      </x:c>
      <x:c r="J485" s="8" t="n">
        <x:v>6</x:v>
      </x:c>
      <x:c r="K485" s="8" t="n">
        <x:v>0</x:v>
      </x:c>
      <x:c r="L485" s="2"/>
      <x:c r="M485" s="2"/>
      <x:c r="N485" s="2"/>
    </x:row>
    <x:row r="486" ht="22" customHeight="1">
      <x:c r="A486" s="4" t="d">
        <x:v>2018-07-01T00:00:00.000Z</x:v>
      </x:c>
      <x:c r="B486" s="2" t="str">
        <x:v>BA</x:v>
      </x:c>
      <x:c r="C486" s="8" t="n">
        <x:v>250</x:v>
      </x:c>
      <x:c r="D486" s="8" t="n">
        <x:v>245</x:v>
      </x:c>
      <x:c r="E486" s="9" t="n">
        <x:v>41869.01</x:v>
      </x:c>
      <x:c r="F486" s="9" t="n">
        <x:v>8041.33</x:v>
      </x:c>
      <x:c r="G486" s="8" t="n">
        <x:v>245</x:v>
      </x:c>
      <x:c r="H486" s="8" t="n">
        <x:v>15</x:v>
      </x:c>
      <x:c r="I486" s="8" t="n">
        <x:v>3323.1726041667</x:v>
      </x:c>
      <x:c r="J486" s="8" t="n">
        <x:v>243</x:v>
      </x:c>
      <x:c r="K486" s="8" t="n">
        <x:v>24</x:v>
      </x:c>
      <x:c r="L486" s="2"/>
      <x:c r="M486" s="2"/>
      <x:c r="N486" s="2"/>
    </x:row>
    <x:row r="487" ht="22" customHeight="1">
      <x:c r="A487" s="4" t="d">
        <x:v>2018-07-01T00:00:00.000Z</x:v>
      </x:c>
      <x:c r="B487" s="2" t="str">
        <x:v>CE</x:v>
      </x:c>
      <x:c r="C487" s="8" t="n">
        <x:v>87</x:v>
      </x:c>
      <x:c r="D487" s="8" t="n">
        <x:v>84</x:v>
      </x:c>
      <x:c r="E487" s="9" t="n">
        <x:v>13487.42</x:v>
      </x:c>
      <x:c r="F487" s="9" t="n">
        <x:v>3095.39</x:v>
      </x:c>
      <x:c r="G487" s="8" t="n">
        <x:v>84</x:v>
      </x:c>
      <x:c r="H487" s="8" t="n">
        <x:v>1</x:v>
      </x:c>
      <x:c r="I487" s="8" t="n">
        <x:v>1068.8312037037</x:v>
      </x:c>
      <x:c r="J487" s="8" t="n">
        <x:v>84</x:v>
      </x:c>
      <x:c r="K487" s="8" t="n">
        <x:v>8</x:v>
      </x:c>
      <x:c r="L487" s="2"/>
      <x:c r="M487" s="2"/>
      <x:c r="N487" s="2"/>
    </x:row>
    <x:row r="488" ht="22" customHeight="1">
      <x:c r="A488" s="4" t="d">
        <x:v>2018-07-01T00:00:00.000Z</x:v>
      </x:c>
      <x:c r="B488" s="2" t="str">
        <x:v>DF</x:v>
      </x:c>
      <x:c r="C488" s="8" t="n">
        <x:v>166</x:v>
      </x:c>
      <x:c r="D488" s="8" t="n">
        <x:v>165</x:v>
      </x:c>
      <x:c r="E488" s="9" t="n">
        <x:v>22685.44</x:v>
      </x:c>
      <x:c r="F488" s="9" t="n">
        <x:v>4558.6</x:v>
      </x:c>
      <x:c r="G488" s="8" t="n">
        <x:v>165</x:v>
      </x:c>
      <x:c r="H488" s="8" t="n">
        <x:v>7</x:v>
      </x:c>
      <x:c r="I488" s="8" t="n">
        <x:v>1548.8036689815</x:v>
      </x:c>
      <x:c r="J488" s="8" t="n">
        <x:v>165</x:v>
      </x:c>
      <x:c r="K488" s="8" t="n">
        <x:v>16</x:v>
      </x:c>
      <x:c r="L488" s="2"/>
      <x:c r="M488" s="2"/>
      <x:c r="N488" s="2"/>
    </x:row>
    <x:row r="489" ht="22" customHeight="1">
      <x:c r="A489" s="4" t="d">
        <x:v>2018-07-01T00:00:00.000Z</x:v>
      </x:c>
      <x:c r="B489" s="2" t="str">
        <x:v>ES</x:v>
      </x:c>
      <x:c r="C489" s="8" t="n">
        <x:v>123</x:v>
      </x:c>
      <x:c r="D489" s="8" t="n">
        <x:v>122</x:v>
      </x:c>
      <x:c r="E489" s="9" t="n">
        <x:v>30001.36</x:v>
      </x:c>
      <x:c r="F489" s="9" t="n">
        <x:v>3518.1</x:v>
      </x:c>
      <x:c r="G489" s="8" t="n">
        <x:v>122</x:v>
      </x:c>
      <x:c r="H489" s="8" t="n">
        <x:v>9</x:v>
      </x:c>
      <x:c r="I489" s="8" t="n">
        <x:v>1499.7413078704</x:v>
      </x:c>
      <x:c r="J489" s="8" t="n">
        <x:v>120</x:v>
      </x:c>
      <x:c r="K489" s="8" t="n">
        <x:v>11</x:v>
      </x:c>
      <x:c r="L489" s="2"/>
      <x:c r="M489" s="2"/>
      <x:c r="N489" s="2"/>
    </x:row>
    <x:row r="490" ht="22" customHeight="1">
      <x:c r="A490" s="4" t="d">
        <x:v>2018-07-01T00:00:00.000Z</x:v>
      </x:c>
      <x:c r="B490" s="2" t="str">
        <x:v>GO</x:v>
      </x:c>
      <x:c r="C490" s="8" t="n">
        <x:v>115</x:v>
      </x:c>
      <x:c r="D490" s="8" t="n">
        <x:v>112</x:v>
      </x:c>
      <x:c r="E490" s="9" t="n">
        <x:v>20503.3</x:v>
      </x:c>
      <x:c r="F490" s="9" t="n">
        <x:v>3876.14</x:v>
      </x:c>
      <x:c r="G490" s="8" t="n">
        <x:v>112</x:v>
      </x:c>
      <x:c r="H490" s="8" t="n">
        <x:v>5</x:v>
      </x:c>
      <x:c r="I490" s="8" t="n">
        <x:v>1362.6763425926</x:v>
      </x:c>
      <x:c r="J490" s="8" t="n">
        <x:v>112</x:v>
      </x:c>
      <x:c r="K490" s="8" t="n">
        <x:v>13</x:v>
      </x:c>
      <x:c r="L490" s="2"/>
      <x:c r="M490" s="2"/>
      <x:c r="N490" s="2"/>
    </x:row>
    <x:row r="491" ht="22" customHeight="1">
      <x:c r="A491" s="4" t="d">
        <x:v>2018-07-01T00:00:00.000Z</x:v>
      </x:c>
      <x:c r="B491" s="2" t="str">
        <x:v>MA</x:v>
      </x:c>
      <x:c r="C491" s="8" t="n">
        <x:v>40</x:v>
      </x:c>
      <x:c r="D491" s="8" t="n">
        <x:v>39</x:v>
      </x:c>
      <x:c r="E491" s="9" t="n">
        <x:v>5895.44</x:v>
      </x:c>
      <x:c r="F491" s="9" t="n">
        <x:v>1851.32</x:v>
      </x:c>
      <x:c r="G491" s="8" t="n">
        <x:v>39</x:v>
      </x:c>
      <x:c r="H491" s="8" t="n">
        <x:v>7</x:v>
      </x:c>
      <x:c r="I491" s="8" t="n">
        <x:v>691.0700578704</x:v>
      </x:c>
      <x:c r="J491" s="8" t="n">
        <x:v>39</x:v>
      </x:c>
      <x:c r="K491" s="8" t="n">
        <x:v>10</x:v>
      </x:c>
      <x:c r="L491" s="2"/>
      <x:c r="M491" s="2"/>
      <x:c r="N491" s="2"/>
    </x:row>
    <x:row r="492" ht="22" customHeight="1">
      <x:c r="A492" s="4" t="d">
        <x:v>2018-07-01T00:00:00.000Z</x:v>
      </x:c>
      <x:c r="B492" s="2" t="str">
        <x:v>MG</x:v>
      </x:c>
      <x:c r="C492" s="8" t="n">
        <x:v>658</x:v>
      </x:c>
      <x:c r="D492" s="8" t="n">
        <x:v>644</x:v>
      </x:c>
      <x:c r="E492" s="9" t="n">
        <x:v>92328.16</x:v>
      </x:c>
      <x:c r="F492" s="9" t="n">
        <x:v>16434.04</x:v>
      </x:c>
      <x:c r="G492" s="8" t="n">
        <x:v>644</x:v>
      </x:c>
      <x:c r="H492" s="8" t="n">
        <x:v>8</x:v>
      </x:c>
      <x:c r="I492" s="8" t="n">
        <x:v>5425.5316435185</x:v>
      </x:c>
      <x:c r="J492" s="8" t="n">
        <x:v>641</x:v>
      </x:c>
      <x:c r="K492" s="8" t="n">
        <x:v>67</x:v>
      </x:c>
      <x:c r="L492" s="2"/>
      <x:c r="M492" s="2"/>
      <x:c r="N492" s="2"/>
    </x:row>
    <x:row r="493" ht="22" customHeight="1">
      <x:c r="A493" s="4" t="d">
        <x:v>2018-07-01T00:00:00.000Z</x:v>
      </x:c>
      <x:c r="B493" s="2" t="str">
        <x:v>MS</x:v>
      </x:c>
      <x:c r="C493" s="8" t="n">
        <x:v>49</x:v>
      </x:c>
      <x:c r="D493" s="8" t="n">
        <x:v>49</x:v>
      </x:c>
      <x:c r="E493" s="9" t="n">
        <x:v>6810.83</x:v>
      </x:c>
      <x:c r="F493" s="9" t="n">
        <x:v>1484.51</x:v>
      </x:c>
      <x:c r="G493" s="8" t="n">
        <x:v>49</x:v>
      </x:c>
      <x:c r="H493" s="8" t="n">
        <x:v>2</x:v>
      </x:c>
      <x:c r="I493" s="8" t="n">
        <x:v>565.3211342593</x:v>
      </x:c>
      <x:c r="J493" s="8" t="n">
        <x:v>49</x:v>
      </x:c>
      <x:c r="K493" s="8" t="n">
        <x:v>4</x:v>
      </x:c>
      <x:c r="L493" s="2"/>
      <x:c r="M493" s="2"/>
      <x:c r="N493" s="2"/>
    </x:row>
    <x:row r="494" ht="22" customHeight="1">
      <x:c r="A494" s="4" t="d">
        <x:v>2018-07-01T00:00:00.000Z</x:v>
      </x:c>
      <x:c r="B494" s="2" t="str">
        <x:v>MT</x:v>
      </x:c>
      <x:c r="C494" s="8" t="n">
        <x:v>47</x:v>
      </x:c>
      <x:c r="D494" s="8" t="n">
        <x:v>47</x:v>
      </x:c>
      <x:c r="E494" s="9" t="n">
        <x:v>10599.64</x:v>
      </x:c>
      <x:c r="F494" s="9" t="n">
        <x:v>2046.02</x:v>
      </x:c>
      <x:c r="G494" s="8" t="n">
        <x:v>47</x:v>
      </x:c>
      <x:c r="H494" s="8" t="n">
        <x:v>0</x:v>
      </x:c>
      <x:c r="I494" s="8" t="n">
        <x:v>598.3473842593</x:v>
      </x:c>
      <x:c r="J494" s="8" t="n">
        <x:v>47</x:v>
      </x:c>
      <x:c r="K494" s="8" t="n">
        <x:v>4</x:v>
      </x:c>
      <x:c r="L494" s="2"/>
      <x:c r="M494" s="2"/>
      <x:c r="N494" s="2"/>
    </x:row>
    <x:row r="495" ht="22" customHeight="1">
      <x:c r="A495" s="4" t="d">
        <x:v>2018-07-01T00:00:00.000Z</x:v>
      </x:c>
      <x:c r="B495" s="2" t="str">
        <x:v>PA</x:v>
      </x:c>
      <x:c r="C495" s="8" t="n">
        <x:v>57</x:v>
      </x:c>
      <x:c r="D495" s="8" t="n">
        <x:v>57</x:v>
      </x:c>
      <x:c r="E495" s="9" t="n">
        <x:v>13195.94</x:v>
      </x:c>
      <x:c r="F495" s="9" t="n">
        <x:v>2655.7</x:v>
      </x:c>
      <x:c r="G495" s="8" t="n">
        <x:v>57</x:v>
      </x:c>
      <x:c r="H495" s="8" t="n">
        <x:v>3</x:v>
      </x:c>
      <x:c r="I495" s="8" t="n">
        <x:v>872.1206597222</x:v>
      </x:c>
      <x:c r="J495" s="8" t="n">
        <x:v>57</x:v>
      </x:c>
      <x:c r="K495" s="8" t="n">
        <x:v>5</x:v>
      </x:c>
      <x:c r="L495" s="2"/>
      <x:c r="M495" s="2"/>
      <x:c r="N495" s="2"/>
    </x:row>
    <x:row r="496" ht="22" customHeight="1">
      <x:c r="A496" s="4" t="d">
        <x:v>2018-07-01T00:00:00.000Z</x:v>
      </x:c>
      <x:c r="B496" s="2" t="str">
        <x:v>PB</x:v>
      </x:c>
      <x:c r="C496" s="8" t="n">
        <x:v>52</x:v>
      </x:c>
      <x:c r="D496" s="8" t="n">
        <x:v>51</x:v>
      </x:c>
      <x:c r="E496" s="9" t="n">
        <x:v>15188.68</x:v>
      </x:c>
      <x:c r="F496" s="9" t="n">
        <x:v>4751.35</x:v>
      </x:c>
      <x:c r="G496" s="8" t="n">
        <x:v>51</x:v>
      </x:c>
      <x:c r="H496" s="8" t="n">
        <x:v>2</x:v>
      </x:c>
      <x:c r="I496" s="8" t="n">
        <x:v>753.0753356481</x:v>
      </x:c>
      <x:c r="J496" s="8" t="n">
        <x:v>51</x:v>
      </x:c>
      <x:c r="K496" s="8" t="n">
        <x:v>7</x:v>
      </x:c>
      <x:c r="L496" s="2"/>
      <x:c r="M496" s="2"/>
      <x:c r="N496" s="2"/>
    </x:row>
    <x:row r="497" ht="22" customHeight="1">
      <x:c r="A497" s="4" t="d">
        <x:v>2018-07-01T00:00:00.000Z</x:v>
      </x:c>
      <x:c r="B497" s="2" t="str">
        <x:v>PE</x:v>
      </x:c>
      <x:c r="C497" s="8" t="n">
        <x:v>137</x:v>
      </x:c>
      <x:c r="D497" s="8" t="n">
        <x:v>136</x:v>
      </x:c>
      <x:c r="E497" s="9" t="n">
        <x:v>24359.04</x:v>
      </x:c>
      <x:c r="F497" s="9" t="n">
        <x:v>5822.19</x:v>
      </x:c>
      <x:c r="G497" s="8" t="n">
        <x:v>136</x:v>
      </x:c>
      <x:c r="H497" s="8" t="n">
        <x:v>8</x:v>
      </x:c>
      <x:c r="I497" s="8" t="n">
        <x:v>1786.0135763889</x:v>
      </x:c>
      <x:c r="J497" s="8" t="n">
        <x:v>136</x:v>
      </x:c>
      <x:c r="K497" s="8" t="n">
        <x:v>17</x:v>
      </x:c>
      <x:c r="L497" s="2"/>
      <x:c r="M497" s="2"/>
      <x:c r="N497" s="2"/>
    </x:row>
    <x:row r="498" ht="22" customHeight="1">
      <x:c r="A498" s="4" t="d">
        <x:v>2018-07-01T00:00:00.000Z</x:v>
      </x:c>
      <x:c r="B498" s="2" t="str">
        <x:v>PI</x:v>
      </x:c>
      <x:c r="C498" s="8" t="n">
        <x:v>32</x:v>
      </x:c>
      <x:c r="D498" s="8" t="n">
        <x:v>32</x:v>
      </x:c>
      <x:c r="E498" s="9" t="n">
        <x:v>6933.47</x:v>
      </x:c>
      <x:c r="F498" s="9" t="n">
        <x:v>1537.64</x:v>
      </x:c>
      <x:c r="G498" s="8" t="n">
        <x:v>32</x:v>
      </x:c>
      <x:c r="H498" s="8" t="n">
        <x:v>2</x:v>
      </x:c>
      <x:c r="I498" s="8" t="n">
        <x:v>493.1815856481</x:v>
      </x:c>
      <x:c r="J498" s="8" t="n">
        <x:v>31</x:v>
      </x:c>
      <x:c r="K498" s="8" t="n">
        <x:v>5</x:v>
      </x:c>
      <x:c r="L498" s="2"/>
      <x:c r="M498" s="2"/>
      <x:c r="N498" s="2"/>
    </x:row>
    <x:row r="499" ht="22" customHeight="1">
      <x:c r="A499" s="4" t="d">
        <x:v>2018-07-01T00:00:00.000Z</x:v>
      </x:c>
      <x:c r="B499" s="2" t="str">
        <x:v>PR</x:v>
      </x:c>
      <x:c r="C499" s="8" t="n">
        <x:v>320</x:v>
      </x:c>
      <x:c r="D499" s="8" t="n">
        <x:v>314</x:v>
      </x:c>
      <x:c r="E499" s="9" t="n">
        <x:v>45108.95</x:v>
      </x:c>
      <x:c r="F499" s="9" t="n">
        <x:v>8616.56</x:v>
      </x:c>
      <x:c r="G499" s="8" t="n">
        <x:v>314</x:v>
      </x:c>
      <x:c r="H499" s="8" t="n">
        <x:v>6</x:v>
      </x:c>
      <x:c r="I499" s="8" t="n">
        <x:v>2713.8986226852</x:v>
      </x:c>
      <x:c r="J499" s="8" t="n">
        <x:v>312</x:v>
      </x:c>
      <x:c r="K499" s="8" t="n">
        <x:v>19</x:v>
      </x:c>
      <x:c r="L499" s="2"/>
      <x:c r="M499" s="2"/>
      <x:c r="N499" s="2"/>
    </x:row>
    <x:row r="500" ht="22" customHeight="1">
      <x:c r="A500" s="4" t="d">
        <x:v>2018-07-01T00:00:00.000Z</x:v>
      </x:c>
      <x:c r="B500" s="2" t="str">
        <x:v>RJ</x:v>
      </x:c>
      <x:c r="C500" s="8" t="n">
        <x:v>717</x:v>
      </x:c>
      <x:c r="D500" s="8" t="n">
        <x:v>696</x:v>
      </x:c>
      <x:c r="E500" s="9" t="n">
        <x:v>97033.4</x:v>
      </x:c>
      <x:c r="F500" s="9" t="n">
        <x:v>19710.03</x:v>
      </x:c>
      <x:c r="G500" s="8" t="n">
        <x:v>696</x:v>
      </x:c>
      <x:c r="H500" s="8" t="n">
        <x:v>17</x:v>
      </x:c>
      <x:c r="I500" s="8" t="n">
        <x:v>6656.8698842593</x:v>
      </x:c>
      <x:c r="J500" s="8" t="n">
        <x:v>688</x:v>
      </x:c>
      <x:c r="K500" s="8" t="n">
        <x:v>71</x:v>
      </x:c>
      <x:c r="L500" s="2"/>
      <x:c r="M500" s="2"/>
      <x:c r="N500" s="2"/>
    </x:row>
    <x:row r="501" ht="22" customHeight="1">
      <x:c r="A501" s="4" t="d">
        <x:v>2018-07-01T00:00:00.000Z</x:v>
      </x:c>
      <x:c r="B501" s="2" t="str">
        <x:v>RN</x:v>
      </x:c>
      <x:c r="C501" s="8" t="n">
        <x:v>29</x:v>
      </x:c>
      <x:c r="D501" s="8" t="n">
        <x:v>29</x:v>
      </x:c>
      <x:c r="E501" s="9" t="n">
        <x:v>8415.43</x:v>
      </x:c>
      <x:c r="F501" s="9" t="n">
        <x:v>1264.3</x:v>
      </x:c>
      <x:c r="G501" s="8" t="n">
        <x:v>29</x:v>
      </x:c>
      <x:c r="H501" s="8" t="n">
        <x:v>0</x:v>
      </x:c>
      <x:c r="I501" s="8" t="n">
        <x:v>378.5907407407</x:v>
      </x:c>
      <x:c r="J501" s="8" t="n">
        <x:v>27</x:v>
      </x:c>
      <x:c r="K501" s="8" t="n">
        <x:v>1</x:v>
      </x:c>
      <x:c r="L501" s="2"/>
      <x:c r="M501" s="2"/>
      <x:c r="N501" s="2"/>
    </x:row>
    <x:row r="502" ht="22" customHeight="1">
      <x:c r="A502" s="4" t="d">
        <x:v>2018-07-01T00:00:00.000Z</x:v>
      </x:c>
      <x:c r="B502" s="2" t="str">
        <x:v>RO</x:v>
      </x:c>
      <x:c r="C502" s="8" t="n">
        <x:v>16</x:v>
      </x:c>
      <x:c r="D502" s="8" t="n">
        <x:v>16</x:v>
      </x:c>
      <x:c r="E502" s="9" t="n">
        <x:v>4503.8</x:v>
      </x:c>
      <x:c r="F502" s="9" t="n">
        <x:v>745.58</x:v>
      </x:c>
      <x:c r="G502" s="8" t="n">
        <x:v>16</x:v>
      </x:c>
      <x:c r="H502" s="8" t="n">
        <x:v>0</x:v>
      </x:c>
      <x:c r="I502" s="8" t="n">
        <x:v>212.3018981481</x:v>
      </x:c>
      <x:c r="J502" s="8" t="n">
        <x:v>16</x:v>
      </x:c>
      <x:c r="K502" s="8" t="n">
        <x:v>2</x:v>
      </x:c>
      <x:c r="L502" s="2"/>
      <x:c r="M502" s="2"/>
      <x:c r="N502" s="2"/>
    </x:row>
    <x:row r="503" ht="22" customHeight="1">
      <x:c r="A503" s="4" t="d">
        <x:v>2018-07-01T00:00:00.000Z</x:v>
      </x:c>
      <x:c r="B503" s="2" t="str">
        <x:v>RR</x:v>
      </x:c>
      <x:c r="C503" s="8" t="n">
        <x:v>5</x:v>
      </x:c>
      <x:c r="D503" s="8" t="n">
        <x:v>5</x:v>
      </x:c>
      <x:c r="E503" s="9" t="n">
        <x:v>1514.7</x:v>
      </x:c>
      <x:c r="F503" s="9" t="n">
        <x:v>445.89</x:v>
      </x:c>
      <x:c r="G503" s="8" t="n">
        <x:v>5</x:v>
      </x:c>
      <x:c r="H503" s="8" t="n">
        <x:v>0</x:v>
      </x:c>
      <x:c r="I503" s="8" t="n">
        <x:v>94.1250115741</x:v>
      </x:c>
      <x:c r="J503" s="8" t="n">
        <x:v>5</x:v>
      </x:c>
      <x:c r="K503" s="8" t="n">
        <x:v>0</x:v>
      </x:c>
      <x:c r="L503" s="2"/>
      <x:c r="M503" s="2"/>
      <x:c r="N503" s="2"/>
    </x:row>
    <x:row r="504" ht="22" customHeight="1">
      <x:c r="A504" s="4" t="d">
        <x:v>2018-07-01T00:00:00.000Z</x:v>
      </x:c>
      <x:c r="B504" s="2" t="str">
        <x:v>RS</x:v>
      </x:c>
      <x:c r="C504" s="8" t="n">
        <x:v>316</x:v>
      </x:c>
      <x:c r="D504" s="8" t="n">
        <x:v>308</x:v>
      </x:c>
      <x:c r="E504" s="9" t="n">
        <x:v>39333.14</x:v>
      </x:c>
      <x:c r="F504" s="9" t="n">
        <x:v>8946.54</x:v>
      </x:c>
      <x:c r="G504" s="8" t="n">
        <x:v>308</x:v>
      </x:c>
      <x:c r="H504" s="8" t="n">
        <x:v>5</x:v>
      </x:c>
      <x:c r="I504" s="8" t="n">
        <x:v>3205.0974884259</x:v>
      </x:c>
      <x:c r="J504" s="8" t="n">
        <x:v>308</x:v>
      </x:c>
      <x:c r="K504" s="8" t="n">
        <x:v>32</x:v>
      </x:c>
      <x:c r="L504" s="2"/>
      <x:c r="M504" s="2"/>
      <x:c r="N504" s="2"/>
    </x:row>
    <x:row r="505" ht="22" customHeight="1">
      <x:c r="A505" s="4" t="d">
        <x:v>2018-07-01T00:00:00.000Z</x:v>
      </x:c>
      <x:c r="B505" s="2" t="str">
        <x:v>SC</x:v>
      </x:c>
      <x:c r="C505" s="8" t="n">
        <x:v>198</x:v>
      </x:c>
      <x:c r="D505" s="8" t="n">
        <x:v>195</x:v>
      </x:c>
      <x:c r="E505" s="9" t="n">
        <x:v>30923.99</x:v>
      </x:c>
      <x:c r="F505" s="9" t="n">
        <x:v>5913.4</x:v>
      </x:c>
      <x:c r="G505" s="8" t="n">
        <x:v>195</x:v>
      </x:c>
      <x:c r="H505" s="8" t="n">
        <x:v>4</x:v>
      </x:c>
      <x:c r="I505" s="8" t="n">
        <x:v>1844.2272222222</x:v>
      </x:c>
      <x:c r="J505" s="8" t="n">
        <x:v>195</x:v>
      </x:c>
      <x:c r="K505" s="8" t="n">
        <x:v>13</x:v>
      </x:c>
      <x:c r="L505" s="2"/>
      <x:c r="M505" s="2"/>
      <x:c r="N505" s="2"/>
    </x:row>
    <x:row r="506" ht="22" customHeight="1">
      <x:c r="A506" s="4" t="d">
        <x:v>2018-07-01T00:00:00.000Z</x:v>
      </x:c>
      <x:c r="B506" s="2" t="str">
        <x:v>SE</x:v>
      </x:c>
      <x:c r="C506" s="8" t="n">
        <x:v>28</x:v>
      </x:c>
      <x:c r="D506" s="8" t="n">
        <x:v>26</x:v>
      </x:c>
      <x:c r="E506" s="9" t="n">
        <x:v>4319.35</x:v>
      </x:c>
      <x:c r="F506" s="9" t="n">
        <x:v>1191.68</x:v>
      </x:c>
      <x:c r="G506" s="8" t="n">
        <x:v>26</x:v>
      </x:c>
      <x:c r="H506" s="8" t="n">
        <x:v>2</x:v>
      </x:c>
      <x:c r="I506" s="8" t="n">
        <x:v>375.6228472222</x:v>
      </x:c>
      <x:c r="J506" s="8" t="n">
        <x:v>26</x:v>
      </x:c>
      <x:c r="K506" s="8" t="n">
        <x:v>1</x:v>
      </x:c>
      <x:c r="L506" s="2"/>
      <x:c r="M506" s="2"/>
      <x:c r="N506" s="2"/>
    </x:row>
    <x:row r="507" ht="22" customHeight="1">
      <x:c r="A507" s="4" t="d">
        <x:v>2018-07-01T00:00:00.000Z</x:v>
      </x:c>
      <x:c r="B507" s="2" t="str">
        <x:v>SP</x:v>
      </x:c>
      <x:c r="C507" s="8" t="n">
        <x:v>2777</x:v>
      </x:c>
      <x:c r="D507" s="8" t="n">
        <x:v>2715</x:v>
      </x:c>
      <x:c r="E507" s="9" t="n">
        <x:v>321647.25</x:v>
      </x:c>
      <x:c r="F507" s="9" t="n">
        <x:v>50173.57</x:v>
      </x:c>
      <x:c r="G507" s="8" t="n">
        <x:v>2712</x:v>
      </x:c>
      <x:c r="H507" s="8" t="n">
        <x:v>100</x:v>
      </x:c>
      <x:c r="I507" s="8" t="n">
        <x:v>18204.7061342593</x:v>
      </x:c>
      <x:c r="J507" s="8" t="n">
        <x:v>2697</x:v>
      </x:c>
      <x:c r="K507" s="8" t="n">
        <x:v>254</x:v>
      </x:c>
      <x:c r="L507" s="2"/>
      <x:c r="M507" s="2"/>
      <x:c r="N507" s="2"/>
    </x:row>
    <x:row r="508" ht="22" customHeight="1">
      <x:c r="A508" s="4" t="d">
        <x:v>2018-07-01T00:00:00.000Z</x:v>
      </x:c>
      <x:c r="B508" s="2" t="str">
        <x:v>TO</x:v>
      </x:c>
      <x:c r="C508" s="8" t="n">
        <x:v>22</x:v>
      </x:c>
      <x:c r="D508" s="8" t="n">
        <x:v>22</x:v>
      </x:c>
      <x:c r="E508" s="9" t="n">
        <x:v>2613.67</x:v>
      </x:c>
      <x:c r="F508" s="9" t="n">
        <x:v>1181.42</x:v>
      </x:c>
      <x:c r="G508" s="8" t="n">
        <x:v>22</x:v>
      </x:c>
      <x:c r="H508" s="8" t="n">
        <x:v>1</x:v>
      </x:c>
      <x:c r="I508" s="8" t="n">
        <x:v>320.2297569444</x:v>
      </x:c>
      <x:c r="J508" s="8" t="n">
        <x:v>22</x:v>
      </x:c>
      <x:c r="K508" s="8" t="n">
        <x:v>1</x:v>
      </x:c>
      <x:c r="L508" s="2"/>
      <x:c r="M508" s="2"/>
      <x:c r="N508" s="2"/>
    </x:row>
    <x:row r="509" ht="22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</x:row>
    <x:row r="510" ht="22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</x:row>
    <x:row r="511" ht="22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</x:row>
    <x:row r="512" ht="22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</x:row>
    <x:row r="513" ht="22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</x:row>
    <x:row r="514" ht="22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</x:row>
    <x:row r="515" ht="22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</x:row>
    <x:row r="516" ht="22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</x:row>
    <x:row r="517" ht="22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</x:row>
    <x:row r="518" ht="22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</x:row>
    <x:row r="519" ht="22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</x:row>
    <x:row r="520" ht="22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</x:row>
  </x:sheetData>
  <x:pageMargins left="0.7" right="0.7" top="0.75" bottom="0.75" header="0.3" footer="0.3"/>
  <x:tableParts count="1">
    <x:tablePart xmlns:r="http://schemas.openxmlformats.org/officeDocument/2006/relationships" r:id="Rb5361b8b98ce465b"/>
  </x:tableParts>
</x:worksheet>
</file>